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WilliamGathright\Downloads\"/>
    </mc:Choice>
  </mc:AlternateContent>
  <xr:revisionPtr revIDLastSave="0" documentId="13_ncr:1_{90D1421D-DA2D-4B54-953D-09F97CF8F556}" xr6:coauthVersionLast="47" xr6:coauthVersionMax="47" xr10:uidLastSave="{00000000-0000-0000-0000-000000000000}"/>
  <bookViews>
    <workbookView xWindow="-120" yWindow="-120" windowWidth="38640" windowHeight="21120" activeTab="1" xr2:uid="{1B9D9F25-051D-43DA-8E4C-4097472714C9}"/>
  </bookViews>
  <sheets>
    <sheet name="help" sheetId="2" r:id="rId1"/>
    <sheet name="matter" sheetId="1" r:id="rId2"/>
  </sheet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17" i="1" l="1"/>
  <c r="AC36" i="1"/>
  <c r="AC8" i="1"/>
  <c r="AC9" i="1"/>
  <c r="AC10" i="1"/>
  <c r="AC11" i="1"/>
  <c r="AC13" i="1"/>
  <c r="AC14" i="1"/>
  <c r="AC15" i="1"/>
  <c r="AC16" i="1"/>
  <c r="AC17" i="1"/>
  <c r="AC18" i="1"/>
  <c r="AC19" i="1"/>
  <c r="AC20" i="1"/>
  <c r="AC21" i="1"/>
  <c r="AC22" i="1"/>
  <c r="AC23" i="1"/>
  <c r="AC24" i="1"/>
  <c r="AC25" i="1"/>
  <c r="AC26" i="1"/>
  <c r="AC27" i="1"/>
  <c r="AC28" i="1"/>
  <c r="AC29" i="1"/>
  <c r="AC30" i="1"/>
  <c r="AC31" i="1"/>
  <c r="AC32" i="1"/>
  <c r="AC33" i="1"/>
  <c r="AC34" i="1"/>
  <c r="AC35" i="1"/>
  <c r="AC38" i="1"/>
  <c r="AC41" i="1"/>
  <c r="AC42" i="1"/>
  <c r="AC43" i="1"/>
  <c r="AC44" i="1"/>
  <c r="AC45" i="1"/>
  <c r="AC73" i="1"/>
  <c r="AC74" i="1"/>
  <c r="AC75" i="1"/>
  <c r="AC77" i="1"/>
  <c r="AC90" i="1"/>
  <c r="AC91" i="1"/>
  <c r="AC92" i="1"/>
  <c r="AC118" i="1"/>
  <c r="AC125" i="1"/>
  <c r="AC130" i="1"/>
  <c r="AC131" i="1"/>
  <c r="AC132" i="1"/>
  <c r="AC133" i="1"/>
  <c r="AC134" i="1"/>
  <c r="AC139" i="1"/>
  <c r="AC140" i="1"/>
  <c r="AC141" i="1"/>
  <c r="AC142" i="1"/>
  <c r="AC144" i="1"/>
  <c r="AC148" i="1"/>
  <c r="AC151" i="1"/>
  <c r="AC152" i="1"/>
  <c r="AC153" i="1"/>
  <c r="AC155" i="1"/>
  <c r="AC156" i="1"/>
  <c r="AC157" i="1"/>
  <c r="AC158" i="1"/>
  <c r="AC159" i="1"/>
  <c r="AC160" i="1"/>
  <c r="AC161" i="1"/>
  <c r="AC162" i="1"/>
  <c r="AC163" i="1"/>
  <c r="AC164" i="1"/>
  <c r="AC167" i="1"/>
  <c r="AC168" i="1"/>
  <c r="AC169" i="1"/>
  <c r="AC170" i="1"/>
  <c r="AC173" i="1"/>
  <c r="AC174" i="1"/>
  <c r="AC175" i="1"/>
</calcChain>
</file>

<file path=xl/sharedStrings.xml><?xml version="1.0" encoding="utf-8"?>
<sst xmlns="http://schemas.openxmlformats.org/spreadsheetml/2006/main" count="2046" uniqueCount="908">
  <si>
    <t>command_id</t>
  </si>
  <si>
    <t>title</t>
  </si>
  <si>
    <t>help</t>
  </si>
  <si>
    <t>element_type</t>
  </si>
  <si>
    <t>access</t>
  </si>
  <si>
    <t>MEP</t>
  </si>
  <si>
    <t>Cluster</t>
  </si>
  <si>
    <t>Element</t>
  </si>
  <si>
    <t>InvokeResponse</t>
  </si>
  <si>
    <t>Invoke</t>
  </si>
  <si>
    <t>WriteResponse</t>
  </si>
  <si>
    <t>Write</t>
  </si>
  <si>
    <t>ReadResponse</t>
  </si>
  <si>
    <t>Read</t>
  </si>
  <si>
    <t>arg</t>
  </si>
  <si>
    <t>name</t>
  </si>
  <si>
    <t>dtype</t>
  </si>
  <si>
    <t>description</t>
  </si>
  <si>
    <t>longdescription</t>
  </si>
  <si>
    <t>unit</t>
  </si>
  <si>
    <t>range_min</t>
  </si>
  <si>
    <t>range_max</t>
  </si>
  <si>
    <t>less_than</t>
  </si>
  <si>
    <t>greater_than</t>
  </si>
  <si>
    <t>meanings</t>
  </si>
  <si>
    <t>friendly_meanings</t>
  </si>
  <si>
    <t>Basic.SystemTime</t>
  </si>
  <si>
    <t>System Time</t>
  </si>
  <si>
    <t>attribute</t>
  </si>
  <si>
    <t>RW</t>
  </si>
  <si>
    <t>HybridInverter</t>
  </si>
  <si>
    <t>Basic</t>
  </si>
  <si>
    <t>SystemTime</t>
  </si>
  <si>
    <t>{
    "code": 0,
    "message": "Success",
    "version": "1.0",
    "requestId": 123,
    "timestamp": 1735006163,
    "data": {
        "code": 0,
        "message": "Success",
        "Elements": [
            {
                "MEP": "HybridInverter",
                "Cluster": "Basic",
                "Element": "SystemTime",
                "arguments": {
                    "Year": 24,
                    "Mon": 7,
                    "Day": 8,
                    "Hour": 9,
                    "Min": 10,
                    "Sec": 11
                },
                "code": 0,
                "message": "Success"
            }
        ]
    }
}</t>
  </si>
  <si>
    <t>{
    "version": "1.0",
    "timeout": 60,
    "requestId": 123,
    "endPoint": "Matter",
    "method": "Write",
    "data": {
        "Elements": [
            {
                "MEP": "HybridInverter",
                "Cluster": "Basic",
                "Element": "SystemTime",
                "arguments": {
                    "Year": 24,
                    "Mon": 7,
                    "Day": 8,
                    "Hour": 9,
                    "Min": 10,
                    "Sec": 11
                }
            }
        ],
        "thingId": {
            "Type": "Inverter",
            "Mn": "fortress",
            "Md": "FP-ENVY-Inverter",
            "SN": "04237218B0"
        }
    }
}</t>
  </si>
  <si>
    <t>{
    "code": 0,
    "message": "Success",
    "version": "1.0",
    "requestId": 123,
    "timestamp": 1735005360,
    "data": {
        "code": 0,
        "message": "Success",
        "Elements": [
            {
                "MEP": "HybridInverter",
                "Cluster": "Basic",
                "Element": "SystemTime",
                "code": 0,
                "message": {
                    "Mon": 24,
                    "Year": 12,
                    "Hour": 23,
                    "Min": 28,
                    "Sec": 55,
                    "Day": 17
                }
            }
        ]
    }
}</t>
  </si>
  <si>
    <t>{
    "version": "1.0",
    "timeout": 60,
    "requestId": 123,
    "endPoint": "Matter",
    "method": "Read",
    "data": {
        "Elements": [
            {
                "MEP": "HybridInverter",
                "Cluster": "Basic",
                "Element": "SystemTime"
            }
        ],
        "thingId": {
            "Type": "Inverter",
            "Mn": "fortress",
            "Md": "FP-ENVY-Inverter",
            "SN": "04237218B0"
        }
    }
}</t>
  </si>
  <si>
    <t>Year</t>
  </si>
  <si>
    <t>Number</t>
  </si>
  <si>
    <t>Mon</t>
  </si>
  <si>
    <t>Day</t>
  </si>
  <si>
    <t>Hour</t>
  </si>
  <si>
    <t>Min</t>
  </si>
  <si>
    <t>Sec</t>
  </si>
  <si>
    <t>Basic.OperatingMode</t>
  </si>
  <si>
    <t>Grid Interaction</t>
  </si>
  <si>
    <t>Select whether the inverter operates independently of the grid, or is connected to the grid. If off-grid, you should also ignore grid-loss warnings.</t>
  </si>
  <si>
    <t>OperatingMode</t>
  </si>
  <si>
    <t>Mode</t>
  </si>
  <si>
    <t>enum</t>
  </si>
  <si>
    <t>Off-grid,Grid-tied</t>
  </si>
  <si>
    <t>Off-Grid.  There is no available power grid,Grid-Tied. Grid power is available.</t>
  </si>
  <si>
    <t>Basic.WorkMode</t>
  </si>
  <si>
    <t>Operating Mode</t>
  </si>
  <si>
    <t>Select how solar power is prioritized. Self-consumption: PV powers the home first, then charges the battery, and exports last (if allowed). Export first: PV powers the home, then exports to grid, and charges the battery last. Backup power: PV charges the battery first to build reserve, then powers the home, and exports last (if allowed). If a battery schedule is running (PV Charge Only, Discharge Only, or Grid Charge), the inverter will follow that schedule during those times instead of this operating mode. When the scheduled period ends, the inverter will return to the selected operating mode.</t>
  </si>
  <si>
    <t>WorkMode</t>
  </si>
  <si>
    <t>Self used mode,Feed-in priority mode,Back-up mode</t>
  </si>
  <si>
    <t>Self-consumption,Export first,Backup power</t>
  </si>
  <si>
    <t>Basic.GridLossWarningClear</t>
  </si>
  <si>
    <t>Ignore Grid-Loss Warning</t>
  </si>
  <si>
    <t>When enabled, the inverter will not treat the absence of grid power as an alarm. Use this mode for permanently off-grid systems where grid connection is unavailable.</t>
  </si>
  <si>
    <t>GridLossWarningClear</t>
  </si>
  <si>
    <t>Grid-Loss Behavior</t>
  </si>
  <si>
    <t>Disable,Enable</t>
  </si>
  <si>
    <t>Treat as Alarm,Ignore (Off-Grid Mode)</t>
  </si>
  <si>
    <t>Basic.PowerStatus</t>
  </si>
  <si>
    <t>Power Status</t>
  </si>
  <si>
    <t>Put the inverter into standby mode to stop operation or make configuration changes. While in standby, the inverter will not generate PV power or charge/discharge the battery. If grid power is available, it be used to supply the loads. If the grid is unavailable, the building will not have power.</t>
  </si>
  <si>
    <t>R</t>
  </si>
  <si>
    <t>PowerStatus</t>
  </si>
  <si>
    <t>State</t>
  </si>
  <si>
    <t>Standby,Other</t>
  </si>
  <si>
    <t>Standby,Running</t>
  </si>
  <si>
    <t>Basic.AllToDefault</t>
  </si>
  <si>
    <t>Reset to Factory Defaults</t>
  </si>
  <si>
    <t>Restores all inverter configuration parameters to their original factory values. Use with caution â€” this cannot be undone.</t>
  </si>
  <si>
    <t>service</t>
  </si>
  <si>
    <t>INVOKE</t>
  </si>
  <si>
    <t>AllToDefault</t>
  </si>
  <si>
    <t>Basic.PowerControl</t>
  </si>
  <si>
    <t>Inverter Power Control</t>
  </si>
  <si>
    <t>Turns the inverter output on or off.
â€¢ **Standby:** AC output is disabled, but control circuits remain powered.
â€¢ **Power On:** Enables AC output and normal inverter operation.</t>
  </si>
  <si>
    <t>PowerControl</t>
  </si>
  <si>
    <t>Power State</t>
  </si>
  <si>
    <t>Standby,PowerOn</t>
  </si>
  <si>
    <t>Standby,Power On</t>
  </si>
  <si>
    <t>LimitActivePower.LimitActivePowerStatus</t>
  </si>
  <si>
    <t>Limit Power Output</t>
  </si>
  <si>
    <t>Shows whether power output limiting is currently active. When not limited, the inverter can deliver its full available power (subject only to natural hardware limits). When limited, an external or configured cap is applied to restrict inverter output to the specified Power Limit.</t>
  </si>
  <si>
    <t>LimitActivePower</t>
  </si>
  <si>
    <t>LimitActivePowerStatus</t>
  </si>
  <si>
    <t>{
    "code": 0,
    "message": "Success",
    "version": "1.0",
    "requestId": 123,
    "timestamp": 1736141456,
    "data": {
        "code": 0,
        "message": "Success",
        "Elements": [
            {
                "MEP": "HybridInverter",
                "Cluster": "LimitActivePower",
                "Element": "LimitActivePowerStatus",
                "code": 0,
                "Data": {
                    "Mode": "Disable"
                }
            }
        ]
    }
}</t>
  </si>
  <si>
    <t>{
    "version": "1.0",
    "timeout": 60,
    "requestId": 123,
    "endPoint": "Matter",
    "method": "Read",
    "data": {
        "Elements": [
            {
                "MEP": "HybridInverter",
                "Cluster": "LimitActivePower",
                "Element": "LimitActivePowerStatus"
            }
        ],
        "thingId": {
            "Type": "Inverter",
            "Mn": "fortress",
            "Md": "FP-ENVY-Inverter",
            "SN": "04237218B0"
        }
    }
}</t>
  </si>
  <si>
    <t>Not limited - full output,Limit output power</t>
  </si>
  <si>
    <t>LimitActivePower.ActivePowerPercent</t>
  </si>
  <si>
    <t>Power Limit</t>
  </si>
  <si>
    <t>The inverter's present active-power output limit as a percentage of its rated capacity. If power limiting is active, the inverter will limit its output power to this percentage of its rated capacity.</t>
  </si>
  <si>
    <t>ActivePowerPercent</t>
  </si>
  <si>
    <t>Power</t>
  </si>
  <si>
    <t>FeedInGrid.FeedInGridStatus</t>
  </si>
  <si>
    <t>Allow Selling Power to Grid</t>
  </si>
  <si>
    <t>Allows the inverter to sell/export power back to the utility grid. Enable this only if local regulations and interconnect agreements permit grid export.</t>
  </si>
  <si>
    <t>FeedInGrid</t>
  </si>
  <si>
    <t>FeedInGridStatus</t>
  </si>
  <si>
    <t>{
    "code": 0,
    "message": "Success",
    "version": "1.0",
    "requestId": 123,
    "timestamp": 1735031763,
    "data": {
        "code": 0,
        "message": "Success",
        "Elements": [
            {
                "MEP": "HybridInverter",
                "Cluster": "FeedInGrid",
                "Element": "FeedInGridStatus",
                "arguments": {
                    "Mode": "Enable"
                },
                "code": 0,
                "message": "Success"
            }
        ]
    }
}</t>
  </si>
  <si>
    <t>{
    "version": "1.0",
    "timeout": 60,
    "requestId": 123,
    "endPoint": "Matter",
    "method": "Write",
    "data": {
        "Elements": [
            {
                "MEP": "HybridInverter",
                "Cluster": "FeedInGrid",
                "Element": "FeedInGridStatus",
                "arguments": {
                    "Mode": "Enable"
                }
            }
        ],
        "thingId": {
            "Type": "Inverter",
            "Mn": "fortress",
            "Md": "FP-ENVY-Inverter",
            "SN": "04237218B0"
        }
    }
}</t>
  </si>
  <si>
    <t>{
    "code": 0,
    "message": "Success",
    "version": "1.0",
    "requestId": 123,
    "timestamp": 1735031618,
    "data": {
        "code": 0,
        "message": "Success",
        "Elements": [
            {
                "MEP": "HybridInverter",
                "Cluster": "FeedInGrid",
                "Element": "FeedInGridStatus",
                "code": 0,
                "message": {
                    "Mode": "Disable"
                }
            }
        ]
    }
}</t>
  </si>
  <si>
    <t>{
    "version": "1.0",
    "timeout": 60,
    "requestId": 123,
    "endPoint": "Matter",
    "method": "Read",
    "data": {
        "Elements": [
            {
                "MEP": "HybridInverter",
                "Cluster": "FeedInGrid",
                "Element": "FeedInGridStatus"
            }
        ],
        "thingId": {
            "Type": "Inverter",
            "Mn": "fortress",
            "Md": "FP-ENVY-Inverter",
            "SN": "04237218B0"
        }
    }
}</t>
  </si>
  <si>
    <t xml:space="preserve"> </t>
  </si>
  <si>
    <t>Not allowed,Allowed</t>
  </si>
  <si>
    <t>FeedInGrid.FeedInGridMaxPower</t>
  </si>
  <si>
    <t>Max Power Sold to Grid</t>
  </si>
  <si>
    <t>Sets the maximum power the inverter is allowed to sell/export to the grid. Use this to meet utility export limits or site commissioning requirements.</t>
  </si>
  <si>
    <t>FeedInGridMaxPower</t>
  </si>
  <si>
    <t>Power (kW)</t>
  </si>
  <si>
    <t>FeedInGrid.FastZeroExportStatus</t>
  </si>
  <si>
    <t>Prevent Grid Export: Strict Mode</t>
  </si>
  <si>
    <t>Keeps power export at or near zero by adjusting inverter output in real time. When enabled, the inverter supplies only local (on-site) loads and will not send power back to the grid. This mode is required when grid export is not allowed. Ensure the CTs are installed on the grid connection point and  not on the inverter's load side, so the inverter can correctly detect and prevent export.</t>
  </si>
  <si>
    <t>FastZeroExportStatus</t>
  </si>
  <si>
    <t>Fast Zero Export</t>
  </si>
  <si>
    <t>Disable strict mode,Enable strict mode</t>
  </si>
  <si>
    <t>ACCharge.ACChgStopSOC</t>
  </si>
  <si>
    <t>AC Chg Stop SOC</t>
  </si>
  <si>
    <t>Attribute in ACCharge cluster</t>
  </si>
  <si>
    <t>ACCharge</t>
  </si>
  <si>
    <t>ACChgStopSOC</t>
  </si>
  <si>
    <t>SOC</t>
  </si>
  <si>
    <t>Parallel.ModbusAddr</t>
  </si>
  <si>
    <t>Parallel unit ID</t>
  </si>
  <si>
    <t>The Unit ID (also known as the unit ID, slave ID, or node ID) for this inverter. The primary inverter should use address 1, and any secondary inverters should use 2 or higher. This sets the modbus address that inverters use to communicate with each other. Each inverter that communicates on the same Modbus communication line must have a unique address, but addresses do not need to be globally unique across separate, unconnected systems.</t>
  </si>
  <si>
    <t>Parallel</t>
  </si>
  <si>
    <t>ModbusAddr</t>
  </si>
  <si>
    <t>{
    "code": 0,
    "message": "Success",
    "version": "1.0",
    "requestId": 123,
    "timestamp": 1736147764,
    "data": {
        "code": 0,
        "message": "Success",
        "Elements": [
            {
                "MEP": "HybridInverter",
                "Cluster": "Parallel",
                "Element": "ModbusAddr",
                "arguments": {
                    "Addr": 1
                },
                "code": 0,
                "Data": "Success"
            }
        ]
    }
}</t>
  </si>
  <si>
    <t>{
    "version": "1.0",
    "timeout": 60,
    "requestId": 123,
    "endPoint": "Matter",
    "method": "Write",
    "data": {
        "Elements": [
            {
                "MEP": "HybridInverter",
                "Cluster": "Parallel",
                "Element": "ModbusAddr",
                "arguments": {
                    "Addr": 1
                }
            }
        ],
        "thingId": {
            "Type": "Inverter",
            "Mn": "fortress",
            "Md": "FP-ENVY-Inverter",
            "SN": "04237218B0"
        }
    }
}</t>
  </si>
  <si>
    <t>{
    "code": 0,
    "message": "Success",
    "version": "1.0",
    "requestId": 123,
    "timestamp": 1736143634,
    "data": {
        "code": 0,
        "message": "Success",
        "Elements": [
            {
                "MEP": "HybridInverter",
                "Cluster": "Parallel",
                "Element": "ModbusAddr",
                "code": 0,
                "Data": {
                    "Addr": 0
                }
            }
        ]
    }
}</t>
  </si>
  <si>
    <t>{
    "version": "1.0",
    "timeout": 60,
    "requestId": 123,
    "endPoint": "Matter",
    "method": "Read",
    "data": {
        "Elements": [
            {
                "MEP": "HybridInverter",
                "Cluster": "Parallel",
                "Element": "ModbusAddr"
            }
        ],
        "thingId": {
            "Type": "Inverter",
            "Mn": "fortress",
            "Md": "FP-ENVY-Inverter",
            "SN": "04237218B0"
        }
    }
}</t>
  </si>
  <si>
    <t>Addr</t>
  </si>
  <si>
    <t>Address</t>
  </si>
  <si>
    <t>Parallel.SystemType</t>
  </si>
  <si>
    <t>System Type</t>
  </si>
  <si>
    <t>Defines how this inverter participates in a multi-inverter or multi-phase system.
â€¢ No Parallel: Single inverter system.
â€¢ Single-phase Parallel (Master / Secondary): Multiple inverters on one phase.
â€¢ Three-phase Parallel (Master): Multiple inverters forming R/S/T phases.</t>
  </si>
  <si>
    <t>SystemType</t>
  </si>
  <si>
    <t>Type</t>
  </si>
  <si>
    <t>Parallel Role / Topology</t>
  </si>
  <si>
    <t>no parallel (single one),Single-phase parallel(Master),Secondary,Three phase parallel(Master)</t>
  </si>
  <si>
    <t>No Parallel (Single Inverter),Single-Phase Parallel (Master),Single-Phase Parallel (Secondary),Three-Phase Parallel (Master)</t>
  </si>
  <si>
    <t>Parallel.ComposedPhase</t>
  </si>
  <si>
    <t>Assigned Phase</t>
  </si>
  <si>
    <t>Selects which output phase this inverter is responsible for in a three-phase system. R, S, and T correspond to L1, L2, and L3.</t>
  </si>
  <si>
    <t>ComposedPhase</t>
  </si>
  <si>
    <t>Phase</t>
  </si>
  <si>
    <t>R,S,T</t>
  </si>
  <si>
    <t>Parallel.ClearDetectedPhases</t>
  </si>
  <si>
    <t>Clear Detected Phases</t>
  </si>
  <si>
    <t>Clears the detected phases for this inverter.</t>
  </si>
  <si>
    <t>W</t>
  </si>
  <si>
    <t>ClearDetectedPhases</t>
  </si>
  <si>
    <t>Clear</t>
  </si>
  <si>
    <t>Parallel.DetectedGridPhases</t>
  </si>
  <si>
    <t>Detected Grid Phases</t>
  </si>
  <si>
    <t>Attribute in Parallel cluster</t>
  </si>
  <si>
    <t>DetectedGridPhases</t>
  </si>
  <si>
    <t>None,R,S,T</t>
  </si>
  <si>
    <t>Parallel.ShareBatteryStatus</t>
  </si>
  <si>
    <t>Share Battery</t>
  </si>
  <si>
    <t>Allows inverters in a parallel group to use a common battery bank instead of keeping batteries isolated per inverter.</t>
  </si>
  <si>
    <t>ShareBatteryStatus</t>
  </si>
  <si>
    <t>Installation Method</t>
  </si>
  <si>
    <t>Inverters have Separate Batteries,Inverters Share a Common Battery Bank</t>
  </si>
  <si>
    <t>Parallel.ParallelNum</t>
  </si>
  <si>
    <t>Inverters in parallel</t>
  </si>
  <si>
    <t>Total number of inverters detected in this parallel system.</t>
  </si>
  <si>
    <t>ParallelNum</t>
  </si>
  <si>
    <t>Num</t>
  </si>
  <si>
    <t>Parallel.Role</t>
  </si>
  <si>
    <t>Inverter Role</t>
  </si>
  <si>
    <t>Reports whether this inverter is acting as Primary (sometimes called the Master) or Secondary in the current parallel configuration.</t>
  </si>
  <si>
    <t>Role</t>
  </si>
  <si>
    <t>Master,Slave</t>
  </si>
  <si>
    <t>Primary,Secondary</t>
  </si>
  <si>
    <t>Parallel.ParallelPhase</t>
  </si>
  <si>
    <t>Reported Phase</t>
  </si>
  <si>
    <t>Reports which phase (R / S / T) this inverter is currently serving in the parallel system.</t>
  </si>
  <si>
    <t>ParallelPhase</t>
  </si>
  <si>
    <t>Measurement.CTSampleRatio</t>
  </si>
  <si>
    <t>CT Ratio</t>
  </si>
  <si>
    <t>Select the current transformer (CT) ratio used for metering electric current on the grid port connection. This must match the CT hardware rating so that current and power readings are accurate.</t>
  </si>
  <si>
    <t>Measurement</t>
  </si>
  <si>
    <t>CTSampleRatio</t>
  </si>
  <si>
    <t>{
    "code": 0,
    "message": "Success",
    "version": "1.0",
    "requestId": 123,
    "timestamp": 1744336901,
    "data": {
        "code": 0,
        "message": "Success",
        "Elements": [
            {
                "MEP": "HybridInverter",
                "Cluster": "Measurement",
                "Element": "CTSampleRatio",
                "arguments": {
                    "Direction": "1/2000"
                },
                "code": 0,
                "message": "Success"
            }
        ]
    }
}</t>
  </si>
  <si>
    <t>{
    "version": "1.0",
    "timeout": 60,
    "requestId": 123,
    "endPoint": "Matter",
    "method": "Write",
    "data": {
        "Elements": [
            {
                "MEP": "HybridInverter",
                "Cluster": "Measurement",
                "Element": "CTSampleRatio",
                "arguments": {
                    "Direction": "1/2000"
                }
            }
        ],
        "thingId": {
            "Type": "Inverter",
            "Mn": "fortress",
            "Md": "FP-ENVY-Inverter",
            "SN": "04237218B0"
        }
    }
}</t>
  </si>
  <si>
    <t>{
    "code": 0,
    "message": "Success",
    "version": "1.0",
    "requestId": 123,
    "timestamp": 1744336863,
    "data": {
        "code": 0,
        "message": "Success",
        "Elements": [
            {
                "MEP": "HybridInverter",
                "Cluster": "Measurement",
                "Element": "CTSampleRatio",
                "code": 0,
                "Data": {
                    "Direction": "1/1000"
                }
            }
        ]
    }
}</t>
  </si>
  <si>
    <t>{
    "version": "1.0",
    "timeout": 60,
    "requestId": 123,
    "endPoint": "Matter",
    "method": "Read",
    "data": {
        "Elements": [
            {
                "MEP": "HybridInverter",
                "Cluster": "Measurement",
                "Element": "CTSampleRatio"
            }
        ],
        "thingId": {
            "Type": "Inverter",
            "Mn": "fortress",
            "Md": "FP-ENVY-Inverter",
            "SN": "04237218B0"
        }
    }
}</t>
  </si>
  <si>
    <t>Direction</t>
  </si>
  <si>
    <t>1/1000,1/2000,1/3000,1/4000,1/6000</t>
  </si>
  <si>
    <t>Measurement.CTDirection</t>
  </si>
  <si>
    <t>CT Direction</t>
  </si>
  <si>
    <t>Sets the CT installation direction. You may choose to reverse this if your inverter is reading import when power is actually flowing out to the grid (export) or vice versa.</t>
  </si>
  <si>
    <t>CTDirection</t>
  </si>
  <si>
    <t>Normal,Reversed</t>
  </si>
  <si>
    <t>BatteryBase.BatteryType</t>
  </si>
  <si>
    <t>Battery Type</t>
  </si>
  <si>
    <t>Specifies the chemistry or general type of connected battery. Choose **No Battery** for standalone PV or grid-tie operation, **Lead-acid** for flooded or AGM batteries, or **Lithium-ion** for managed BMS packs.</t>
  </si>
  <si>
    <t>BatteryBase</t>
  </si>
  <si>
    <t>BatteryType</t>
  </si>
  <si>
    <t>{
    "code": 0,
    "message": "Success",
    "version": "1.0",
    "requestId": 123,
    "timestamp": 1735018521,
    "data": {
        "code": 0,
        "message": "Success",
        "Elements": [
            {
                "MEP": "HybridInverter",
                "Cluster": "BatteryBase",
                "Element": "BatteryType",
                "arguments": {
                    "Type": "Lead-acid"
                },
                "code": 0,
                "message": "Success"
            }
        ]
    }
}</t>
  </si>
  <si>
    <t>{
    "version": "1.0",
    "timeout": 60,
    "requestId": 123,
    "endPoint": "Matter",
    "method": "Write",
    "data": {
        "Elements": [
            {
                "MEP": "HybridInverter",
                "Cluster": "BatteryBase",
                "Element": "BatteryType",
                "arguments": {
                    "Type": "Lead-acid"
                }
            }
        ],
        "thingId": {
            "Type": "Inverter",
            "Mn": "fortress",
            "Md": "FP-ENVY-Inverter",
            "SN": "04237218B0"
        }
    }
}</t>
  </si>
  <si>
    <t>{
    "code": 0,
    "message": "Success",
    "version": "1.0",
    "requestId": 123,
    "timestamp": 1735018400,
    "data": {
        "code": 0,
        "message": "Success",
        "Elements": [
            {
                "MEP": "HybridInverter",
                "Cluster": "BatteryBase",
                "Element": "BatteryType",
                "code": 0,
                "message": {
                    "Type": "NoBattery"
                }
            }
        ]
    }
}</t>
  </si>
  <si>
    <t>{
    "version": "1.0",
    "timeout": 60,
    "requestId": 123,
    "endPoint": "Matter",
    "method": "Read",
    "data": {
        "Elements": [
            {
                "MEP": "HybridInverter",
                "Cluster": "BatteryBase",
                "Element": "BatteryType"
            }
        ],
        "thingId": {
            "Type": "Inverter",
            "Mn": "fortress",
            "Md": "FP-ENVY-Inverter",
            "SN": "04237218B0"
        }
    }
}</t>
  </si>
  <si>
    <t>NoBattery,Lead-acid,Lithom-ion</t>
  </si>
  <si>
    <t>No Battery,Lead-acid,Lithium-ion</t>
  </si>
  <si>
    <t>BatteryBase.BatteryBrand</t>
  </si>
  <si>
    <t>Battery Brand</t>
  </si>
  <si>
    <t>Selects the manufacturer profile for the connected battery. This may pre-configure recommended voltage and SOC limits for optimal operation.</t>
  </si>
  <si>
    <t>BatteryBrand</t>
  </si>
  <si>
    <t>Brand</t>
  </si>
  <si>
    <t>Fortress</t>
  </si>
  <si>
    <t>BatteryBase.AbsorbVoltage</t>
  </si>
  <si>
    <t>Absorb Voltage</t>
  </si>
  <si>
    <t>Sets the voltage used during the absorb (bulk-to-float transition) phase. Increasing this value raises the upper charge threshold for lead-acid batteries.</t>
  </si>
  <si>
    <t>AbsorbVoltage</t>
  </si>
  <si>
    <t>Volt</t>
  </si>
  <si>
    <t>BatteryBase.FloatVoltage</t>
  </si>
  <si>
    <t>Float Voltage</t>
  </si>
  <si>
    <t>Defines the voltage maintained once the battery is fully charged. This helps prevent overcharging while keeping the battery topped off.</t>
  </si>
  <si>
    <t>FloatVoltage</t>
  </si>
  <si>
    <t>BatteryBase.VbatStartDerating</t>
  </si>
  <si>
    <t>Start Derating Voltage</t>
  </si>
  <si>
    <t>Voltage threshold where the inverter begins reducing charge or discharge current to protect the battery as it approaches full or low state.</t>
  </si>
  <si>
    <t>VbatStartDerating</t>
  </si>
  <si>
    <t>BatteryBase.ChaDisChaCtrlType</t>
  </si>
  <si>
    <t>Battery Control Type</t>
  </si>
  <si>
    <t>Determines how the inverter regulates both charging and discharging.
SOC: Uses battery state of charge thresholds to start and stop charge/discharge.
Volt: Uses DC voltage limits instead.</t>
  </si>
  <si>
    <t>ChaDisChaCtrlType</t>
  </si>
  <si>
    <t>ChargeCtrlType</t>
  </si>
  <si>
    <t>Charge Control</t>
  </si>
  <si>
    <t>SOC,Volt</t>
  </si>
  <si>
    <t>DisChargeCtrlType</t>
  </si>
  <si>
    <t>Discharge Control</t>
  </si>
  <si>
    <t>BatteryBase.ChargeLimitSoc</t>
  </si>
  <si>
    <t>Charge Limit (SOC)</t>
  </si>
  <si>
    <t>Sets the maximum state of charge (SOC) the battery will be charged to. Once the battery reaches this level, charging stops to prevent overcharging and extend lifespan.</t>
  </si>
  <si>
    <t>ChargeLimitSoc</t>
  </si>
  <si>
    <t>BatteryBase.MaxChaDisChaCurrent</t>
  </si>
  <si>
    <t>Max Battery Current</t>
  </si>
  <si>
    <t>Sets the maximum charging and discharging current allowed for the connected inverter. Choose the preset that matches your inverter model to automatically apply the correct limits.</t>
  </si>
  <si>
    <t>MaxChaDisChaCurrent</t>
  </si>
  <si>
    <t>MaxChargingCurrent</t>
  </si>
  <si>
    <t>Max Charge Preset</t>
  </si>
  <si>
    <t>Envy12K,Envy10K,Envy8K</t>
  </si>
  <si>
    <t>MaxDischargingCurrent</t>
  </si>
  <si>
    <t>Max Discharge Preset</t>
  </si>
  <si>
    <t>BatteryBase.OnGridCutOffSoc</t>
  </si>
  <si>
    <t>On-Grid Battery Cutoff SOC</t>
  </si>
  <si>
    <t>Sets the minimum state of charge (SOC) the battery will discharge to while grid power is available. Below this level, the inverter will stop discharging and switch to grid power to protect battery capacity.</t>
  </si>
  <si>
    <t>OnGridCutOffSoc</t>
  </si>
  <si>
    <t>Recommended: between 21-90%.  Must be higher than the Off-Grid Battery Cutoff SOC.</t>
  </si>
  <si>
    <t>BatteryBase.OffGridCutOffSoc</t>
  </si>
  <si>
    <t>Off-Grid Battery Cutoff SOC</t>
  </si>
  <si>
    <t>Sets the minimum state of charge (SOC) the battery will discharge to when operating off-grid. Once the battery reaches this level, the inverter stops discharging to prevent deep discharge and maintain battery health.</t>
  </si>
  <si>
    <t>OffGridCutOffSoc</t>
  </si>
  <si>
    <t>Recommended: between 20-89%.  Must be lower than the On-Grid Battery Cutoff SOC.</t>
  </si>
  <si>
    <t>BatteryBackup.BatteryBackupMode</t>
  </si>
  <si>
    <t>Battery Backup Mode</t>
  </si>
  <si>
    <t>Enables or disables battery-backup operation. When enabled, the inverter reserves part of the battery capacity to power critical loads during a grid outage.</t>
  </si>
  <si>
    <t>BatteryBackup</t>
  </si>
  <si>
    <t>BatteryBackupMode</t>
  </si>
  <si>
    <t>{
    "code": 0,
    "message": "Success",
    "version": "1.0",
    "requestId": 123,
    "timestamp": 1735023847,
    "data": {
        "code": 0,
        "message": "Success",
        "Elements": [
            {
                "MEP": "HybridInverter",
                "Cluster": "BatteryBackup",
                "Element": "BatteryBackupMode",
                "arguments": {
                    "Mode": "Enable"
                },
                "code": 0,
                "message": "Success"
            }
        ]
    }
}</t>
  </si>
  <si>
    <t>{
    "version": "1.0",
    "timeout": 60,
    "requestId": 123,
    "endPoint": "Matter",
    "method": "Write",
    "data": {
        "Elements": [
            {
                "MEP": "HybridInverter",
                "Cluster": "BatteryBackup",
                "Element": "BatteryBackupMode",
                "arguments": {
                    "Mode": "Enable"
                }
            }
        ],
        "thingId": {
            "Type": "Inverter",
            "Mn": "fortress",
            "Md": "FP-ENVY-Inverter",
            "SN": "04237218B0"
        }
    }
}</t>
  </si>
  <si>
    <t>{
    "code": 0,
    "message": "Success",
    "version": "1.0",
    "requestId": 123,
    "timestamp": 1735023766,
    "data": {
        "code": 0,
        "message": "Success",
        "Elements": [
            {
                "MEP": "HybridInverter",
                "Cluster": "BatteryBackup",
                "Element": "BatteryBackupMode",
                "code": 0,
                "message": {
                    "Mode": "Disable"
                }
            }
        ]
    }
}</t>
  </si>
  <si>
    <t>{
    "version": "1.0",
    "timeout": 60,
    "requestId": 123,
    "endPoint": "Matter",
    "method": "Read",
    "data": {
        "Elements": [
            {
                "MEP": "HybridInverter",
                "Cluster": "BatteryBackup",
                "Element": "BatteryBackupMode"
            }
        ],
        "thingId": {
            "Type": "Inverter",
            "Mn": "fortress",
            "Md": "FP-ENVY-Inverter",
            "SN": "04237218B0"
        }
    }
}</t>
  </si>
  <si>
    <t>Disable Backup Mode,Enable Backup Mode</t>
  </si>
  <si>
    <t>BatteryBackup.BatteryReserveSOC</t>
  </si>
  <si>
    <t>Battery Reserve SOC</t>
  </si>
  <si>
    <t>While Battery Backup Mode is enabled, the battery will stop discharging once it reaches this level. When Backup Mode is disabled, normal operation applies and discharge will continue down to the On-Grid or Off-Grid Battery Cutoff SOC.</t>
  </si>
  <si>
    <t>BatteryReserveSOC</t>
  </si>
  <si>
    <t>BatteryScheduling.BatteryScheduling</t>
  </si>
  <si>
    <t>Battery Scheduling</t>
  </si>
  <si>
    <t>This is a special scheduling mode designed for certain time-of-use (TOU) utility rates or other custom situations. In most circumstances, we recomment allowing your system to  manage charging and discharging automatically without setting a schedule.  You don't need to set a schedule unless you have a specific reason to charge or discharge at exact times.</t>
  </si>
  <si>
    <t>BatteryScheduling</t>
  </si>
  <si>
    <t>{
    "code": 0,
    "message": "Success",
    "version": "1.0",
    "requestId": 123,
    "timestamp": 1735025852,
    "data": {
        "code": 0,
        "message": "Success",
        "Elements": [
            {
                "MEP": "HybridInverter",
                "Cluster": "BatteryScheduling",
                "Element": "BatteryScheduling",
                "arguments": {
                    "Mode": "Enable"
                },
                "code": 0,
                "message": "Success"
            }
        ]
    }
}</t>
  </si>
  <si>
    <t>{
    "version": "1.0",
    "timeout": 60,
    "requestId": 123,
    "endPoint": "Matter",
    "method": "Write",
    "data": {
        "Elements": [
            {
                "MEP": "HybridInverter",
                "Cluster": "BatteryScheduling",
                "Element": "BatteryScheduling",
                "arguments": {
                    "Mode": "Enable"
                }
            }
        ],
        "thingId": {
            "Type": "Inverter",
            "Mn": "fortress",
            "Md": "FP-ENVY-Inverter",
            "SN": "04237218B0"
        }
    }
}</t>
  </si>
  <si>
    <t>{
    "code": 0,
    "message": "Success",
    "version": "1.0",
    "requestId": 123,
    "timestamp": 1735025771,
    "data": {
        "code": 0,
        "message": "Success",
        "Elements": [
            {
                "MEP": "HybridInverter",
                "Cluster": "BatteryScheduling",
                "Element": "BatteryScheduling",
                "code": 0,
                "message": {
                    "Mode": "Disable"
                }
            }
        ]
    }
}</t>
  </si>
  <si>
    <t>{
    "version": "1.0",
    "timeout": 60,
    "requestId": 123,
    "endPoint": "Matter",
    "method": "Read",
    "data": {
        "Elements": [
            {
                "MEP": "HybridInverter",
                "Cluster": "BatteryScheduling",
                "Element": "BatteryScheduling"
            }
        ],
        "thingId": {
            "Type": "Inverter",
            "Mn": "fortress",
            "Md": "FP-ENVY-Inverter",
            "SN": "04237218B0"
        }
    }
}</t>
  </si>
  <si>
    <t>Scheduling</t>
  </si>
  <si>
    <t>Disable Scheduling,Enable the 'PV Charge Only' and 'Discharge Only' scheduling modes</t>
  </si>
  <si>
    <t>BatteryTOUCharge.TOUMaximumChargingPower</t>
  </si>
  <si>
    <t>Max Battery Charge Power During 'PV Charge Only' Periods</t>
  </si>
  <si>
    <t>Sets the maximum charging power during scheduled Time-of-Use (TOU) charge periods in kW. Set this limit to control the power level at which the battery will charge from the grid during PV charge only periods</t>
  </si>
  <si>
    <t>BatteryTOUCharge</t>
  </si>
  <si>
    <t>TOUMaximumChargingPower</t>
  </si>
  <si>
    <t>{
    "code": 0,
    "message": "Success",
    "version": "1.0",
    "requestId": 123,
    "timestamp": 1735026147,
    "data": {
        "code": 0,
        "message": "Success",
        "Elements": [
            {
                "MEP": "HybridInverter",
                "Cluster": "BatteryTOUCharge",
                "Element": "TOUMaximumChargingPower",
                "arguments": {
                    "Power": 80
                },
                "code": 0,
                "message": "Success"
            }
        ]
    }
}</t>
  </si>
  <si>
    <t>{
    "version": "1.0",
    "timeout": 60,
    "requestId": 123,
    "endPoint": "Matter",
    "method": "Write",
    "data": {
        "Elements": [
            {
                "MEP": "HybridInverter",
                "Cluster": "BatteryTOUCharge",
                "Element": "TOUMaximumChargingPower",
                "arguments": {
                    "Power": 80
                }
            }
        ],
        "thingId": {
            "Type": "Inverter",
            "Mn": "fortress",
            "Md": "FP-ENVY-Inverter",
            "SN": "04237218B0"
        }
    }
}</t>
  </si>
  <si>
    <t>{
    "code": 0,
    "message": "Success",
    "version": "1.0",
    "requestId": 123,
    "timestamp": 1735025959,
    "data": {
        "code": 0,
        "message": "Success",
        "Elements": [
            {
                "MEP": "HybridInverter",
                "Cluster": "BatteryTOUCharge",
                "Element": "TOUMaximumChargingPower",
                "code": 0,
                "message": {
                    "Power": 0
                }
            }
        ]
    }
}</t>
  </si>
  <si>
    <t>{
    "version": "1.0",
    "timeout": 60,
    "requestId": 123,
    "endPoint": "Matter",
    "method": "Read",
    "data": {
        "Elements": [
            {
                "MEP": "HybridInverter",
                "Cluster": "BatteryTOUCharge",
                "Element": "TOUMaximumChargingPower"
            }
        ],
        "thingId": {
            "Type": "Inverter",
            "Mn": "fortress",
            "Md": "FP-ENVY-Inverter",
            "SN": "04237218B0"
        }
    }
}</t>
  </si>
  <si>
    <t>Should not exceed the inverter's rated power</t>
  </si>
  <si>
    <t>BatteryTOUCharge.TOUChargingPlan1</t>
  </si>
  <si>
    <t>Schedule Window 1 for PV Charge Only</t>
  </si>
  <si>
    <t>During these times your battery will charge from solar power and not discharge to power your home unless there is a grid power outage</t>
  </si>
  <si>
    <t>TOUChargingPlan1</t>
  </si>
  <si>
    <t>StartTime_h</t>
  </si>
  <si>
    <t>Start Hour (0-23)</t>
  </si>
  <si>
    <t>StartTime_m</t>
  </si>
  <si>
    <t>Start Minute (0-59)</t>
  </si>
  <si>
    <t>EndTime_h</t>
  </si>
  <si>
    <t>End Hour (0-23)</t>
  </si>
  <si>
    <t>EndTime_m</t>
  </si>
  <si>
    <t>End Minute (0-59)</t>
  </si>
  <si>
    <t>BatteryTOUCharge.TOUChargingPlan2</t>
  </si>
  <si>
    <t>Schedule Window 2 for PV Charge Only</t>
  </si>
  <si>
    <t>TOUChargingPlan2</t>
  </si>
  <si>
    <t>BatteryTOUCharge.TOUChargingPlan3</t>
  </si>
  <si>
    <t>Schedule Window 3 for PV Charge Only</t>
  </si>
  <si>
    <t>TOUChargingPlan3</t>
  </si>
  <si>
    <t>BatteryTOUDischarge.TOUMaximumDischargingPower</t>
  </si>
  <si>
    <t>Max Inverter Output Power During 'Discharge Only' Periods</t>
  </si>
  <si>
    <t>Sets the maximum discharging power during scheduled Time-of-Use (TOU) discharge periods in kW. Limit this to control how much battery power is exported to loads or grid during those windows.</t>
  </si>
  <si>
    <t>BatteryTOUDischarge</t>
  </si>
  <si>
    <t>TOUMaximumDischargingPower</t>
  </si>
  <si>
    <t>{
    "code": 0,
    "message": "Success",
    "version": "1.0",
    "requestId": 123,
    "timestamp": 1735030299,
    "data": {
        "code": 0,
        "message": "Success",
        "Elements": [
            {
                "MEP": "HybridInverter",
                "Cluster": "BatteryTOUDischarge",
                "Element": "TOUMaximumDischargingPower",
                "arguments": {
                    "Power": 80
                },
                "code": 0,
                "message": "Success"
            }
        ]
    }
}</t>
  </si>
  <si>
    <t>{
    "version": "1.0",
    "timeout": 60,
    "requestId": 123,
    "endPoint": "Matter",
    "method": "Write",
    "data": {
        "Elements": [
            {
                "MEP": "HybridInverter",
                "Cluster": "BatteryTOUDischarge",
                "Element": "TOUMaximumDischargingPower",
                "arguments": {
                    "Power": 80
                }
            }
        ],
        "thingId": {
            "Type": "Inverter",
            "Mn": "fortress",
            "Md": "FP-ENVY-Inverter",
            "SN": "04237218B0"
        }
    }
}</t>
  </si>
  <si>
    <t>{
    "code": 0,
    "message": "Success",
    "version": "1.0",
    "requestId": 123,
    "timestamp": 1735030227,
    "data": {
        "code": 0,
        "message": "Success",
        "Elements": [
            {
                "MEP": "HybridInverter",
                "Cluster": "BatteryTOUDischarge",
                "Element": "TOUMaximumDischargingPower",
                "code": 0,
                "message": {
                    "Power": 0
                }
            }
        ]
    }
}</t>
  </si>
  <si>
    <t>{
    "version": "1.0",
    "timeout": 60,
    "requestId": 123,
    "endPoint": "Matter",
    "method": "Read",
    "data": {
        "Elements": [
            {
                "MEP": "HybridInverter",
                "Cluster": "BatteryTOUDischarge",
                "Element": "TOUMaximumDischargingPower"
            }
        ],
        "thingId": {
            "Type": "Inverter",
            "Mn": "fortress",
            "Md": "FP-ENVY-Inverter",
            "SN": "04237218B0"
        }
    }
}</t>
  </si>
  <si>
    <t>BatteryTOUDischarge.DischargingStopSoc</t>
  </si>
  <si>
    <t>TOU Discharge Stop SOC</t>
  </si>
  <si>
    <t>Sets the minimum state of charge (SOC) that the battery will discharge to during 'Discharge Only' operation. Once this level is reached, discharging stops to preserve reserve capacity for later use or backup.</t>
  </si>
  <si>
    <t>DischargingStopSoc</t>
  </si>
  <si>
    <t>BatteryTOUDischarge.TOUDischargingPlan1</t>
  </si>
  <si>
    <t>Schedule Window 1 for Discharge Only</t>
  </si>
  <si>
    <t>During these times, your battery will discharge at a steady rate and not charge from solar power.  Solar power will be used in your home and sold to the grid as allowed</t>
  </si>
  <si>
    <t>TOUDischargingPlan1</t>
  </si>
  <si>
    <t>BatteryTOUDischarge.TOUDischargingPlan2</t>
  </si>
  <si>
    <t>Schedule Window 2 for Discharge Only</t>
  </si>
  <si>
    <t>TOUDischargingPlan2</t>
  </si>
  <si>
    <t>BatteryTOUDischarge.TOUDischargingPlan3</t>
  </si>
  <si>
    <t>Schedule Window 3 for Discharge Only</t>
  </si>
  <si>
    <t>TOUDischargingPlan3</t>
  </si>
  <si>
    <t>ACCharge.ACChargeStatus</t>
  </si>
  <si>
    <t>Allow Battery Charging from Grid</t>
  </si>
  <si>
    <t>Enables the battery to charge from the utility grid.</t>
  </si>
  <si>
    <t>ACChargeStatus</t>
  </si>
  <si>
    <t>{
    "code": 0,
    "message": "Success",
    "version": "1.0",
    "requestId": 123,
    "timestamp": 1735033124,
    "data": {
        "code": 0,
        "message": "Success",
        "Elements": [
            {
                "MEP": "HybridInverter",
                "Cluster": "ACCharge",
                "Element": "ACChargeStatus",
                "arguments": {
                    "Mode": "Enable"
                },
                "code": 0,
                "message": "Success"
            }
        ]
    }
}</t>
  </si>
  <si>
    <t>{
    "version": "1.0",
    "timeout": 60,
    "requestId": 123,
    "endPoint": "Matter",
    "method": "Write",
    "data": {
        "Elements": [
            {
                "MEP": "HybridInverter",
                "Cluster": "ACCharge",
                "Element": "ACChargeStatus",
                "arguments": {
                    "Mode": "Enable"
                }
            }
        ],
        "thingId": {
            "Type": "Inverter",
            "Mn": "fortress",
            "Md": "FP-ENVY-Inverter",
            "SN": "04237218B0"
        }
    }
}</t>
  </si>
  <si>
    <t>{
    "code": 0,
    "message": "Success",
    "version": "1.0",
    "requestId": 123,
    "timestamp": 1735032870,
    "data": {
        "code": 0,
        "message": "Success",
        "Elements": [
            {
                "MEP": "HybridInverter",
                "Cluster": "ACCharge",
                "Element": "ACChargeStatus",
                "code": 0,
                "message": {
                    "Mode": "Disable"
                }
            }
        ]
    }
}</t>
  </si>
  <si>
    <t>{
    "version": "1.0",
    "timeout": 60,
    "requestId": 123,
    "endPoint": "Matter",
    "method": "Read",
    "data": {
        "Elements": [
            {
                "MEP": "HybridInverter",
                "Cluster": "ACCharge",
                "Element": "ACChargeStatus"
            }
        ],
        "thingId": {
            "Type": "Inverter",
            "Mn": "fortress",
            "Md": "FP-ENVY-Inverter",
            "SN": "04237218B0"
        }
    }
}</t>
  </si>
  <si>
    <t>Grid Charge</t>
  </si>
  <si>
    <t>Do not charge the battery from grid power,Allowed</t>
  </si>
  <si>
    <t>ACCharge.ACChargePower</t>
  </si>
  <si>
    <t>Grid Charge Power Limit</t>
  </si>
  <si>
    <t>Sets the maximum power the inverter will draw from the grid for charging. This cap applies when Grid Charge is enabled (and within any configured time windows).</t>
  </si>
  <si>
    <t>ACChargePower</t>
  </si>
  <si>
    <t>Max Grid Charge Power (W)</t>
  </si>
  <si>
    <t>ACCharge.ACChgStartSOC</t>
  </si>
  <si>
    <t>Grid Charge SOC Range</t>
  </si>
  <si>
    <t>Defines when grid charging starts and stops based on battery state of charge (SOC). Charging starts when SOC falls below Start SOC and stops when it reaches Stop SOC.</t>
  </si>
  <si>
    <t>ACChgStartSOC</t>
  </si>
  <si>
    <t>StopSOC</t>
  </si>
  <si>
    <t>ACCharge.ACChargeType</t>
  </si>
  <si>
    <t>Grid Charge Control Type</t>
  </si>
  <si>
    <t>Select whether grid charging follows a time schedule or SOC/voltage thresholds.</t>
  </si>
  <si>
    <t>ACChargeType</t>
  </si>
  <si>
    <t>Control Type</t>
  </si>
  <si>
    <t>according to time,according to SOC/Volt</t>
  </si>
  <si>
    <t>By Time Schedule,By SOC/Voltage</t>
  </si>
  <si>
    <t>ACCharge.ACChargingPlan</t>
  </si>
  <si>
    <t>Grid Charge Windows</t>
  </si>
  <si>
    <t>During these times, your battery will continue to charge from solar power normally, but will also use additional power from the grid to charge the battery.</t>
  </si>
  <si>
    <t>ACChargingPlan</t>
  </si>
  <si>
    <t>StartTime1_h</t>
  </si>
  <si>
    <t>Window 1 Start Hour</t>
  </si>
  <si>
    <t>StartTime1_m</t>
  </si>
  <si>
    <t>Window 1 Start Minute</t>
  </si>
  <si>
    <t>EndTime1_h</t>
  </si>
  <si>
    <t>Window 1 End Hour</t>
  </si>
  <si>
    <t>EndTime1_m</t>
  </si>
  <si>
    <t>Window 1 End Minute</t>
  </si>
  <si>
    <t>StartTime2_h</t>
  </si>
  <si>
    <t>Window 2 Start Hour</t>
  </si>
  <si>
    <t>StartTime2_m</t>
  </si>
  <si>
    <t>Window 2 Start Minute</t>
  </si>
  <si>
    <t>EndTime2_h</t>
  </si>
  <si>
    <t>Window 2 End Hour</t>
  </si>
  <si>
    <t>EndTime2_m</t>
  </si>
  <si>
    <t>Window 2 End Minute</t>
  </si>
  <si>
    <t>StartTime3_h</t>
  </si>
  <si>
    <t>Window 3 Start Hour</t>
  </si>
  <si>
    <t>StartTime3_m</t>
  </si>
  <si>
    <t>Window 3 Start Minute</t>
  </si>
  <si>
    <t>EndTime3_h</t>
  </si>
  <si>
    <t>Window 3 End Hour</t>
  </si>
  <si>
    <t>EndTime3_m</t>
  </si>
  <si>
    <t>Window 3 End Minute</t>
  </si>
  <si>
    <t>GridBase.GridRegulation</t>
  </si>
  <si>
    <t>Grid Parameters</t>
  </si>
  <si>
    <t>This setting changes the conditions under which the inverter will connect or disconnect from the utility grid. Different areas have different rules about when this equipment is allowed to disconnect and when it must ride through. Choose the code required by the local utility or AHJ.</t>
  </si>
  <si>
    <t>GridBase</t>
  </si>
  <si>
    <t>GridRegulation</t>
  </si>
  <si>
    <t>{
    "code": 0,
    "message": "Success",
    "version": "1.0",
    "requestId": 123,
    "timestamp": 1735180134,
    "data": {
        "code": 0,
        "message": "Success",
        "Elements": [
            {
                "MEP": "HybridInverter",
                "Cluster": "GridBase",
                "Element": "GridRegulation",
                "arguments": {
                    "Code": "KIUC"
                },
                "code": 0,
                "message": "Success"
            }
        ]
    }
}</t>
  </si>
  <si>
    <t>{
    "version": "1.0",
    "timeout": 60,
    "requestId": 123,
    "endPoint": "Matter",
    "method": "Write",
    "data": {
        "Elements": [
            {
                "MEP": "HybridInverter",
                "Cluster": "GridBase",
                "Element": "GridRegulation",
                "arguments": {
                    "Code": "KIUC"
                }
            }
        ],
        "thingId": {
            "Type": "Inverter",
            "Mn": "fortress",
            "Md": "FP-ENVY-Inverter",
            "SN": "04237218B0"
        }
    }
}</t>
  </si>
  <si>
    <t>{
    "code": 0,
    "message": "Success",
    "version": "1.0",
    "requestId": 123,
    "timestamp": 1735971123,
    "data": {
        "code": 0,
        "message": "Success",
        "Elements": [
            {
                "MEP": "HybridInverter",
                "Cluster": "GridBase",
                "Element": "GridRegulation",
                "code": 0,
                "Data": {
                    "Code": "KIUC"
                }
            }
        ]
    }
}</t>
  </si>
  <si>
    <t>{
    "version": "1.0",
    "timeout": 60,
    "requestId": 123,
    "endPoint": "Matter",
    "method": "Read",
    "data": {
        "Elements": [
            {
                "MEP": "HybridInverter",
                "Cluster": "GridBase",
                "Element": "GridRegulation"
            }
        ],
        "thingId": {
            "Type": "Inverter",
            "Mn": "fortress",
            "Md": "FP-ENVY-Inverter",
            "SN": "04237218B0"
        }
    }
}</t>
  </si>
  <si>
    <t>Code</t>
  </si>
  <si>
    <t>Default(UL-240-18),California(Rule 21),Hawaii(Rule 14),Puerto Rico LUMA,KIUC</t>
  </si>
  <si>
    <t>Default UL-1741 / IEEE 1547,California (Rule 21),Hawaii (Rule 14),Puerto Rico (LUMA),KIUC</t>
  </si>
  <si>
    <t>GridBase.GridType</t>
  </si>
  <si>
    <t>Grid Type</t>
  </si>
  <si>
    <t>Choose wiring configuration of the site.  This helps configure the system to match the power service at the site.  Note the voltage you enter here must match the EPS Voltage.</t>
  </si>
  <si>
    <t>GridType</t>
  </si>
  <si>
    <t>Service Type</t>
  </si>
  <si>
    <t>Split240V/120V,3phase208V/120V,Single240V,Single230V,Split200V/100V</t>
  </si>
  <si>
    <t>Split 240V / 120V,3-Phase 208V / 120V,Single 240V,Single 230V,Split 200V / 100V</t>
  </si>
  <si>
    <t>GridBase.GridFreq</t>
  </si>
  <si>
    <t>Grid Frequency</t>
  </si>
  <si>
    <t>Sets the nominal grid frequency for the installation. Use 60 Hz for North America and most split-phase installs; use 50 Hz for regions that operate at 230 V single-phase.</t>
  </si>
  <si>
    <t>GridFreq</t>
  </si>
  <si>
    <t>Freq</t>
  </si>
  <si>
    <t>Frequency (Hz)</t>
  </si>
  <si>
    <t>50,60</t>
  </si>
  <si>
    <t>50 Hz,60 Hz</t>
  </si>
  <si>
    <t>GridProtection.GridVoltLimit1</t>
  </si>
  <si>
    <t>Grid Voltage Limits (Stage 1)</t>
  </si>
  <si>
    <t>Voltage trip window. If grid voltage rises above or falls below these thresholds for longer than the threshold time allows, the inverter will disconnect from the grid.</t>
  </si>
  <si>
    <t>GridProtection</t>
  </si>
  <si>
    <t>GridVoltLimit1</t>
  </si>
  <si>
    <t>{
    "code": 0,
    "message": "Success",
    "version": "1.0",
    "requestId": 123,
    "timestamp": 1735971864,
    "data": {
        "code": 0,
        "message": "Success",
        "Elements": [
            {
                "MEP": "HybridInverter",
                "Cluster": "GridProtection",
                "Element": "GridVoltLimit1",
                "arguments": {
                    "GridVoltLimitHigh": 70,
                    "GridVoltLimitLow": 90
                },
                "code": 0,
                "Data": "Success"
            }
        ]
    }
}</t>
  </si>
  <si>
    <t>{
    "version": "1.0",
    "timeout": 60,
    "requestId": 123,
    "endPoint": "Matter",
    "method": "Write",
    "data": {
        "Elements": [
            {
                "MEP": "HybridInverter",
                "Cluster": "GridProtection",
                "Element": "GridVoltLimit1",
                "arguments": {
                    "GridVoltLimitHigh": 70,
                    "GridVoltLimitLow": 90
                }
            }
        ],
        "thingId": {
            "Type": "Inverter",
            "Mn": "fortress",
            "Md": "FP-ENVY-Inverter",
            "SN": "04237218B0"
        }
    }
}</t>
  </si>
  <si>
    <t>{
    "code": 0,
    "message": "Success",
    "version": "1.0",
    "requestId": 123,
    "timestamp": 1735971758,
    "data": {
        "code": 0,
        "message": "Success",
        "Elements": [
            {
                "MEP": "HybridInverter",
                "Cluster": "GridProtection",
                "Element": "GridVoltLimit1",
                "code": 0,
                "Data": {
                    "GridVoltLimitHigh": 0,
                    "GridVoltLimitLow": 0
                }
            }
        ]
    }
}</t>
  </si>
  <si>
    <t>{
    "version": "1.0",
    "timeout": 60,
    "requestId": 123,
    "endPoint": "Matter",
    "method": "Read",
    "data": {
        "Elements": [
            {
                "MEP": "HybridInverter",
                "Cluster": "GridProtection",
                "Element": "GridVoltLimit1"
            }
        ],
        "thingId": {
            "Type": "Inverter",
            "Mn": "fortress",
            "Md": "FP-ENVY-Inverter",
            "SN": "04237218B0"
        }
    }
}</t>
  </si>
  <si>
    <t>GridVoltLimitHigh</t>
  </si>
  <si>
    <t>Upper Limit (Vac)</t>
  </si>
  <si>
    <t>GridVoltLimitLow</t>
  </si>
  <si>
    <t>Lower Limit (Vac)</t>
  </si>
  <si>
    <t>GridProtection.GridVoltLimit2</t>
  </si>
  <si>
    <t>Grid Voltage Limits (Stage 2)</t>
  </si>
  <si>
    <t>GridVoltLimit2</t>
  </si>
  <si>
    <t>GridProtection.GridVoltLimit3</t>
  </si>
  <si>
    <t>Grid Voltage Limits (Stage 3)</t>
  </si>
  <si>
    <t>GridVoltLimit3</t>
  </si>
  <si>
    <t>GridProtection.GridFreqLimit1</t>
  </si>
  <si>
    <t>Grid Frequency Limits (Stage 1)</t>
  </si>
  <si>
    <t>Sets the upper and lower grid frequency thresholds. If grid frequency goes outside this range, the inverter will disconnect from the grid to protect the system and comply with grid safety standards.</t>
  </si>
  <si>
    <t>GridFreqLimit1</t>
  </si>
  <si>
    <t>GridFreqLimitHigh</t>
  </si>
  <si>
    <t>Upper Limit (Hz)</t>
  </si>
  <si>
    <t>GridFreqLimitLow</t>
  </si>
  <si>
    <t>Lower Limit (Hz)</t>
  </si>
  <si>
    <t>GridProtection.GridFreqLimit2</t>
  </si>
  <si>
    <t>Grid Frequency Limits (Stage 2)</t>
  </si>
  <si>
    <t>GridFreqLimit2</t>
  </si>
  <si>
    <t>GridProtection.GridFreqLimit3</t>
  </si>
  <si>
    <t>Grid Frequency Limits (Stage 3)</t>
  </si>
  <si>
    <t>GridFreqLimit3</t>
  </si>
  <si>
    <t>GridProtection.GridVoltLimit1Time</t>
  </si>
  <si>
    <t>Grid Voltage Trip Time</t>
  </si>
  <si>
    <t>Defines how long the grid voltage must remain below the lower limit or above the upper limit (Stage 1) before the inverter disconnects from the grid.</t>
  </si>
  <si>
    <t>GridVoltLimit1Time</t>
  </si>
  <si>
    <t>GridVoltLimitLowTime</t>
  </si>
  <si>
    <t>Low Voltage Trip Delay (ms)</t>
  </si>
  <si>
    <t>GridVoltLimitHighTime</t>
  </si>
  <si>
    <t>High Voltage Trip Delay (ms)</t>
  </si>
  <si>
    <t>GridProtection.GridVoltLimit2Time</t>
  </si>
  <si>
    <t>Grid Voltage Trip Time (Stage 2)</t>
  </si>
  <si>
    <t>Defines how long the grid voltage must remain below the lower limit or above the upper limit (Stage 2) before the inverter disconnects from the grid.</t>
  </si>
  <si>
    <t>GridVoltLimit2Time</t>
  </si>
  <si>
    <t>GridProtection.GridVoltLimit3Time</t>
  </si>
  <si>
    <t>Grid Voltage Trip Time (Stage 3)</t>
  </si>
  <si>
    <t>Defines how long the grid voltage must remain below the lower limit or above the upper limit (Stage 3) before the inverter disconnects from the grid.</t>
  </si>
  <si>
    <t>GridVoltLimit3Time</t>
  </si>
  <si>
    <t>GridProtection.GridFreqLimit1Time</t>
  </si>
  <si>
    <t>Grid Frequency Trip Time (Stage 1)</t>
  </si>
  <si>
    <t>Defines how long the grid frequency must remain below the lower limit or above the upper limit (Stage 1) before the inverter disconnects from the grid.</t>
  </si>
  <si>
    <t>GridFreqLimit1Time</t>
  </si>
  <si>
    <t>GridFreqLimitHighTime</t>
  </si>
  <si>
    <t>High Frequency Trip Delay (ms)</t>
  </si>
  <si>
    <t>GridFreqLimitLowTime</t>
  </si>
  <si>
    <t>Low Frequency Trip Delay (ms)</t>
  </si>
  <si>
    <t>GridProtection.GridFreqLimit2Time</t>
  </si>
  <si>
    <t>Grid Frequency Trip Time (Stage 2)</t>
  </si>
  <si>
    <t>Defines how long the grid frequency must remain below the lower limit or above the upper limit (Stage 2) before the inverter disconnects from the grid.</t>
  </si>
  <si>
    <t>GridFreqLimit2Time</t>
  </si>
  <si>
    <t>GridProtection.GridFreqLimit3Time</t>
  </si>
  <si>
    <t>Grid Frequency Trip Time (Stage 3)</t>
  </si>
  <si>
    <t>Defines how long the grid frequency must remain below the lower limit or above the upper limit (Stage 3) before the inverter disconnects from the grid.</t>
  </si>
  <si>
    <t>GridFreqLimit3Time</t>
  </si>
  <si>
    <t>GridConnection.PermitServiceStatus</t>
  </si>
  <si>
    <t>Permit to Operate</t>
  </si>
  <si>
    <t>Shows whether the inverter is permitted to operate in grid-connected mode.</t>
  </si>
  <si>
    <t>GridConnection</t>
  </si>
  <si>
    <t>PermitServiceStatus</t>
  </si>
  <si>
    <t>{
    "code": 0,
    "message": "Success",
    "version": "1.0",
    "requestId": 123,
    "timestamp": 1735972517,
    "data": {
        "code": 0,
        "message": "Success",
        "Elements": [
            {
                "MEP": "HybridInverter",
                "Cluster": "GridConnection",
                "Element": "PermitServiceStatus",
                "code": 0,
                "Data": {
                    "Mode": "Disable"
                }
            }
        ]
    }
}</t>
  </si>
  <si>
    <t>{
    "version": "1.0",
    "timeout": 60,
    "requestId": 123,
    "endPoint": "Matter",
    "method": "Read",
    "data": {
        "Elements": [
            {
                "MEP": "HybridInverter",
                "Cluster": "GridConnection",
                "Element": "PermitServiceStatus"
            }
        ],
        "thingId": {
            "Type": "Inverter",
            "Mn": "fortress",
            "Md": "FP-ENVY-Inverter",
            "SN": "04237218B0"
        }
    }
}</t>
  </si>
  <si>
    <t>Permit Status</t>
  </si>
  <si>
    <t>Not Permitted,Permitted</t>
  </si>
  <si>
    <t>GridConnection.RampRate</t>
  </si>
  <si>
    <t>Ramp Rate</t>
  </si>
  <si>
    <t>How quickly inverter output is allowed to increase.</t>
  </si>
  <si>
    <t>RampRate</t>
  </si>
  <si>
    <t>Rate</t>
  </si>
  <si>
    <t>Ramp Rate (%/sec)</t>
  </si>
  <si>
    <t>GridConnection.ApplicableVoltage</t>
  </si>
  <si>
    <t>Applicable Grid Voltage Range</t>
  </si>
  <si>
    <t>Voltage window within which grid connection is permitted. Outside this range the inverter will not connect or will disconnect.</t>
  </si>
  <si>
    <t>ApplicableVoltage</t>
  </si>
  <si>
    <t>ApplicableVoltageLow</t>
  </si>
  <si>
    <t>ApplicableVoltageHigh</t>
  </si>
  <si>
    <t>GridConnection.ApplicableFrequency</t>
  </si>
  <si>
    <t>Applicable Grid Frequency Range</t>
  </si>
  <si>
    <t>Frequency window within which grid connection is permitted. Outside this range the inverter will not connect or will disconnect.</t>
  </si>
  <si>
    <t>ApplicableFrequency</t>
  </si>
  <si>
    <t>ApplicableFrequencyLow</t>
  </si>
  <si>
    <t>ApplicableFrequencyHigh</t>
  </si>
  <si>
    <t>GridConnection.DelayTime</t>
  </si>
  <si>
    <t>Connection Delay Times</t>
  </si>
  <si>
    <t>Delays applied before initial grid connection and after a grid disturbance clears (reconnection). These timers help meet interconnection standards.  The connection delay is how long the inverter will wait after first being powered on.  Reconnection delay is how long the inverter will wait after a grid disturbance or outage clears.</t>
  </si>
  <si>
    <t>DelayTime</t>
  </si>
  <si>
    <t>ConnectionDelayTime</t>
  </si>
  <si>
    <t>Connection Delay (s)</t>
  </si>
  <si>
    <t>ReconnectionDelayTime</t>
  </si>
  <si>
    <t>Reconnection Delay (s)</t>
  </si>
  <si>
    <t>ConstantPowerFactorMode.ConstantPowerFactorModeStatus</t>
  </si>
  <si>
    <t>Power Factor Mode</t>
  </si>
  <si>
    <t>Shows whether constant power-factor control is active.</t>
  </si>
  <si>
    <t>ConstantPowerFactorMode</t>
  </si>
  <si>
    <t>ConstantPowerFactorModeStatus</t>
  </si>
  <si>
    <t>{
    "code": 0,
    "message": "Success",
    "version": "1.0",
    "requestId": 123,
    "timestamp": 1735975299,
    "data": {
        "code": 0,
        "message": "Success",
        "Elements": [
            {
                "MEP": "HybridInverter",
                "Cluster": "ConstantPowerFactorMode",
                "Element": "ConstantPowerFactorModeStatus",
                "code": 0,
                "Data": {
                    "Mode": "Disable"
                }
            }
        ]
    }
}</t>
  </si>
  <si>
    <t>{
    "version": "1.0",
    "timeout": 60,
    "requestId": 123,
    "endPoint": "Matter",
    "method": "Read",
    "data": {
        "Elements": [
            {
                "MEP": "HybridInverter",
                "Cluster": "ConstantPowerFactorMode",
                "Element": "ConstantPowerFactorModeStatus"
            }
        ],
        "thingId": {
            "Type": "Inverter",
            "Mn": "fortress",
            "Md": "FP-ENVY-Inverter",
            "SN": "04237218B0"
        }
    }
}</t>
  </si>
  <si>
    <t>Status</t>
  </si>
  <si>
    <t>Inactive â€” No PF control,Active â€” Constant PF</t>
  </si>
  <si>
    <t>ConstantPowerFactorMode.ConstantPowerFactor</t>
  </si>
  <si>
    <t>Power Factor Setpoint</t>
  </si>
  <si>
    <t>The target power factor and excitation. Under-excited = lagging (absorbing vars); Over-excited = leading (supplying vars).</t>
  </si>
  <si>
    <t>ConstantPowerFactor</t>
  </si>
  <si>
    <t>Excited</t>
  </si>
  <si>
    <t>Excitation</t>
  </si>
  <si>
    <t>Under-excited,Over-excited</t>
  </si>
  <si>
    <t>PowerFactor</t>
  </si>
  <si>
    <t>Power Factor (PF)</t>
  </si>
  <si>
    <t>ConstantReactivePowerMode.ConstantReactivePowerModeStatus</t>
  </si>
  <si>
    <t>Reactive Power Mode</t>
  </si>
  <si>
    <t>Shows whether constant reactive-power control is active.</t>
  </si>
  <si>
    <t>ConstantReactivePowerMode</t>
  </si>
  <si>
    <t>ConstantReactivePowerModeStatus</t>
  </si>
  <si>
    <t>{
    "code": 0,
    "message": "Success",
    "version": "1.0",
    "requestId": 123,
    "timestamp": 1736135194,
    "data": {
        "code": 0,
        "message": "Success",
        "Elements": [
            {
                "MEP": "HybridInverter",
                "Cluster": "ConstantReactivePowerMode",
                "Element": "ConstantReactivePowerModeStatus",
                "code": 0,
                "Data": {
                    "Excited": "Over-excited",
                    "Status": "Disable"
                }
            }
        ]
    }
}</t>
  </si>
  <si>
    <t>{
    "version": "1.0",
    "timeout": 60,
    "requestId": 123,
    "endPoint": "Matter",
    "method": "Read",
    "data": {
        "Elements": [
            {
                "MEP": "HybridInverter",
                "Cluster": "ConstantReactivePowerMode",
                "Element": "ConstantReactivePowerModeStatus"
            }
        ],
        "thingId": {
            "Type": "Inverter",
            "Mn": "fortress",
            "Md": "FP-ENVY-Inverter",
            "SN": "04237218B0"
        }
    }
}</t>
  </si>
  <si>
    <t>Inactive - no reactive power control,Active - reactive power control</t>
  </si>
  <si>
    <t>ConstantReactivePowerMode.ReactivePowerPercentCMD</t>
  </si>
  <si>
    <t>Reactive Power Setpoint</t>
  </si>
  <si>
    <t>Displays the reactive-power target as a percentage of rated power (vars). Excitation determines whether vars are supplied (leading) or absorbed (lagging).</t>
  </si>
  <si>
    <t>ReactivePowerPercentCMD</t>
  </si>
  <si>
    <t>Reactive Power (%)</t>
  </si>
  <si>
    <t>VoltageReactivePowerMode.VoltageReactivePowerMode</t>
  </si>
  <si>
    <t>Volt-VAR Mode</t>
  </si>
  <si>
    <t>Shows whether Volt-VAR (voltage-reactive power) control is active. This value is read-only and reflects the current configuration or utility command.</t>
  </si>
  <si>
    <t>VoltageReactivePowerMode</t>
  </si>
  <si>
    <t>{
    "code": 0,
    "message": "Success",
    "version": "1.0",
    "requestId": 123,
    "timestamp": 1736135261,
    "data": {
        "code": 0,
        "message": "Success",
        "Elements": [
            {
                "MEP": "HybridInverter",
                "Cluster": "VoltageReactivePowerMode",
                "Element": "VoltageReactivePowerMode",
                "code": 0,
                "Data": {
                    "Mode": "Enable"
                }
            }
        ]
    }
}</t>
  </si>
  <si>
    <t>{
    "version": "1.0",
    "timeout": 60,
    "requestId": 123,
    "endPoint": "Matter",
    "method": "Read",
    "data": {
        "Elements": [
            {
                "MEP": "HybridInverter",
                "Cluster": "VoltageReactivePowerMode",
                "Element": "VoltageReactivePowerMode"
            }
        ],
        "thingId": {
            "Type": "Inverter",
            "Mn": "fortress",
            "Md": "FP-ENVY-Inverter",
            "SN": "04237218B0"
        }
    }
}</t>
  </si>
  <si>
    <t>Inactive - no Volt-VAR control,Active - Volt-VAR control</t>
  </si>
  <si>
    <t>VoltageReactivePowerMode.AutonomousVrefAdjustment</t>
  </si>
  <si>
    <t>Autonomous Vref Adjustment</t>
  </si>
  <si>
    <t>Indicates whether the inverter autonomously adjusts its reference voltage (Vref).</t>
  </si>
  <si>
    <t>AutonomousVrefAdjustment</t>
  </si>
  <si>
    <t>Autonomous Adjustment</t>
  </si>
  <si>
    <t>VoltageReactivePowerMode.Verf</t>
  </si>
  <si>
    <t>Reference Voltage (Vref)</t>
  </si>
  <si>
    <t>Voltage reference used for Volt-VAR calculations.</t>
  </si>
  <si>
    <t>Verf</t>
  </si>
  <si>
    <t>Vref</t>
  </si>
  <si>
    <t>VoltageReactivePowerMode.VrefAdjustmentTimeConstant</t>
  </si>
  <si>
    <t>Vref Adjustment Time Constant</t>
  </si>
  <si>
    <t>Time constant applied when adjusting Vref.</t>
  </si>
  <si>
    <t>VrefAdjustmentTimeConstant</t>
  </si>
  <si>
    <t>Time</t>
  </si>
  <si>
    <t>Time Constant</t>
  </si>
  <si>
    <t>VoltageReactivePowerMode.UnderOverVoltage</t>
  </si>
  <si>
    <t>Volt-VAR Voltage Breakpoints</t>
  </si>
  <si>
    <t>Voltage points (V1-V4) that define the Volt-VAR curve breakpoints.</t>
  </si>
  <si>
    <t>UnderOverVoltage</t>
  </si>
  <si>
    <t>V1</t>
  </si>
  <si>
    <t>V1 (Voltage Point 1)</t>
  </si>
  <si>
    <t>V2</t>
  </si>
  <si>
    <t>V2 (Voltage Point 2)</t>
  </si>
  <si>
    <t>V3</t>
  </si>
  <si>
    <t>V3 (Voltage Point 3)</t>
  </si>
  <si>
    <t>V4</t>
  </si>
  <si>
    <t>V4 (Voltage Point 4)</t>
  </si>
  <si>
    <t>VoltageReactivePowerMode.Q1</t>
  </si>
  <si>
    <t>Reactive Power Setpoint Q1</t>
  </si>
  <si>
    <t>Reactive power at voltage point V1 on the Volt-VAR curve.</t>
  </si>
  <si>
    <t>Q1</t>
  </si>
  <si>
    <t>Q1 (Reactive Setpoint 1)</t>
  </si>
  <si>
    <t>VoltageReactivePowerMode.Q2</t>
  </si>
  <si>
    <t>Reactive Power Setpoint Q2</t>
  </si>
  <si>
    <t>Reactive power at voltage point V2 on the Volt-VAR curve.</t>
  </si>
  <si>
    <t>Q2</t>
  </si>
  <si>
    <t>Q2 (Reactive Setpoint 2)</t>
  </si>
  <si>
    <t>VoltageReactivePowerMode.Q3</t>
  </si>
  <si>
    <t>Reactive Power Setpoint Q3</t>
  </si>
  <si>
    <t>Reactive power at voltage point V3 on the Volt-VAR curve.</t>
  </si>
  <si>
    <t>Q3</t>
  </si>
  <si>
    <t>Q3 (Reactive Setpoint 3)</t>
  </si>
  <si>
    <t>VoltageReactivePowerMode.Q4</t>
  </si>
  <si>
    <t>Reactive Power Setpoint Q4</t>
  </si>
  <si>
    <t>Reactive power at voltage point V4 on the Volt-VAR curve.</t>
  </si>
  <si>
    <t>Q4</t>
  </si>
  <si>
    <t>Q4 (Reactive Setpoint 4)</t>
  </si>
  <si>
    <t>VoltageReactivePowerMode.OpenLoopResponseTime</t>
  </si>
  <si>
    <t>Open-Loop Response Time</t>
  </si>
  <si>
    <t>Response time used for open-loop Volt-VAR changes.</t>
  </si>
  <si>
    <t>OpenLoopResponseTime</t>
  </si>
  <si>
    <t>Response Time</t>
  </si>
  <si>
    <t>ActivePowerReactivePowerMode.PQModeStatus</t>
  </si>
  <si>
    <t>P-Q Mode Status</t>
  </si>
  <si>
    <t>Shows whether Active/Reactive Power (P-Q) control mode is enabled.</t>
  </si>
  <si>
    <t>ActivePowerReactivePowerMode</t>
  </si>
  <si>
    <t>PQModeStatus</t>
  </si>
  <si>
    <t>{
    "code": 0,
    "message": "Success",
    "version": "1.0",
    "requestId": 123,
    "timestamp": 1736140844,
    "data": {
        "code": 0,
        "message": "Success",
        "Elements": [
            {
                "MEP": "HybridInverter",
                "Cluster": "ActivePowerReactivePowerMode",
                "Element": "PQModeStatus",
                "code": 0,
                "Data": {
                    "Mode": "Disable"
                }
            }
        ]
    }
}</t>
  </si>
  <si>
    <t>{
    "version": "1.0",
    "timeout": 60,
    "requestId": 123,
    "endPoint": "Matter",
    "method": "Read",
    "data": {
        "Elements": [
            {
                "MEP": "HybridInverter",
                "Cluster": "ActivePowerReactivePowerMode",
                "Element": "PQModeStatus"
            }
        ],
        "thingId": {
            "Type": "Inverter",
            "Mn": "fortress",
            "Md": "FP-ENVY-Inverter",
            "SN": "04237218B0"
        }
    }
}</t>
  </si>
  <si>
    <t>Inactive - no P-Q control,Active - P-Q control</t>
  </si>
  <si>
    <t>ActivePowerReactivePowerMode.P_QP</t>
  </si>
  <si>
    <t>P-Q Curve Points</t>
  </si>
  <si>
    <t>Breakpoint setpoints for the Active/Reactive Power (P-Q) characteristic.</t>
  </si>
  <si>
    <t>P_QP</t>
  </si>
  <si>
    <t>P1</t>
  </si>
  <si>
    <t>P1 Setpoint</t>
  </si>
  <si>
    <t>P2</t>
  </si>
  <si>
    <t>P2 Setpoint</t>
  </si>
  <si>
    <t>P3</t>
  </si>
  <si>
    <t>P3 Setpoint</t>
  </si>
  <si>
    <t>VoltageActivePowerMode.VoltageActivePowerMode</t>
  </si>
  <si>
    <t>Volt-Watt Mode</t>
  </si>
  <si>
    <t>Shows whether Volt-Watt (voltage-active power) control is enabled.</t>
  </si>
  <si>
    <t>VoltageActivePowerMode</t>
  </si>
  <si>
    <t>{
    "code": 0,
    "message": "Success",
    "version": "1.0",
    "requestId": 123,
    "timestamp": 1736140985,
    "data": {
        "code": 0,
        "message": "Success",
        "Elements": [
            {
                "MEP": "HybridInverter",
                "Cluster": "VoltageActivePowerMode",
                "Element": "VoltageActivePowerMode",
                "code": 0,
                "Data": {
                    "Mode": "Disable"
                }
            }
        ]
    }
}</t>
  </si>
  <si>
    <t>{
    "version": "1.0",
    "timeout": 60,
    "requestId": 123,
    "endPoint": "Matter",
    "method": "Read",
    "data": {
        "Elements": [
            {
                "MEP": "HybridInverter",
                "Cluster": "VoltageActivePowerMode",
                "Element": "VoltageActivePowerMode"
            }
        ],
        "thingId": {
            "Type": "Inverter",
            "Mn": "fortress",
            "Md": "FP-ENVY-Inverter",
            "SN": "04237218B0"
        }
    }
}</t>
  </si>
  <si>
    <t>Inactive - no Volt-Watt control,Active - Volt-Watt control</t>
  </si>
  <si>
    <t>VoltageActivePowerMode.VoltWattV</t>
  </si>
  <si>
    <t>Volt-Watt Voltage Breakpoints</t>
  </si>
  <si>
    <t>Voltage points that define the Volt-Watt curve.</t>
  </si>
  <si>
    <t>VoltWattV</t>
  </si>
  <si>
    <t>VoltWattV1</t>
  </si>
  <si>
    <t>VoltWattV2</t>
  </si>
  <si>
    <t>VoltageActivePowerMode.VoltWattP2</t>
  </si>
  <si>
    <t>Volt-Watt Power Setpoint</t>
  </si>
  <si>
    <t>Power setpoint at voltage breakpoint V2 on the Volt-Watt curve.</t>
  </si>
  <si>
    <t>VoltWattP2</t>
  </si>
  <si>
    <t>VoltageActivePowerMode.OpenLoopResponseTime</t>
  </si>
  <si>
    <t>Response time used for open-loop Volt-Watt changes.</t>
  </si>
  <si>
    <t>FrequencyActivePowerMode.FrequencyActivePowerModeStatus</t>
  </si>
  <si>
    <t>Frequency-Active Power Mode</t>
  </si>
  <si>
    <t>Indicates whether frequency-power (Freq-Watt) control is currently enabled.</t>
  </si>
  <si>
    <t>FrequencyActivePowerMode</t>
  </si>
  <si>
    <t>FrequencyActivePowerModeStatus</t>
  </si>
  <si>
    <t>{
    "code": 0,
    "message": "Success",
    "version": "1.0",
    "requestId": 123,
    "timestamp": 1736141181,
    "data": {
        "code": 0,
        "message": "Success",
        "Elements": [
            {
                "MEP": "HybridInverter",
                "Cluster": "FrequencyActivePowerMode",
                "Element": "FrequencyActivePowerModeStatus",
                "code": 0,
                "Data": {
                    "Mode": "Disable"
                }
            }
        ]
    }
}</t>
  </si>
  <si>
    <t>{
    "version": "1.0",
    "timeout": 60,
    "requestId": 123,
    "endPoint": "Matter",
    "method": "Read",
    "data": {
        "Elements": [
            {
                "MEP": "HybridInverter",
                "Cluster": "FrequencyActivePowerMode",
                "Element": "FrequencyActivePowerModeStatus"
            }
        ],
        "thingId": {
            "Type": "Inverter",
            "Mn": "fortress",
            "Md": "FP-ENVY-Inverter",
            "SN": "04237218B0"
        }
    }
}</t>
  </si>
  <si>
    <t>FrequencyActivePowerMode.OpenLoopResponseTime</t>
  </si>
  <si>
    <t>Response time applied to open-loop frequency-power adjustments.</t>
  </si>
  <si>
    <t>FrequencyActivePowerMode.OverFrequencyDroop_dbOF</t>
  </si>
  <si>
    <t>Over-Frequency Droop: Deadband</t>
  </si>
  <si>
    <t>Over Frequency Droop dbOF â€” Deadband around nominal frequency before active power reduction begins.</t>
  </si>
  <si>
    <t>OverFrequencyDroop_dbOF</t>
  </si>
  <si>
    <t>Frequency</t>
  </si>
  <si>
    <t>Deadband (Hz)</t>
  </si>
  <si>
    <t>FrequencyActivePowerMode.OverFrequencyDroop_kOF</t>
  </si>
  <si>
    <t>Over-Frequency Droop: Gain (k)</t>
  </si>
  <si>
    <t>Over Frequency Droop kOF â€” Slope (gain k) of active power reduction versus frequency rise above nominal.</t>
  </si>
  <si>
    <t>OverFrequencyDroop_kOF</t>
  </si>
  <si>
    <t>Gain k (slope)</t>
  </si>
  <si>
    <t>FrequencyActivePowerMode.UnderFrequencyDroop_dbUF</t>
  </si>
  <si>
    <t>Under-Frequency Droop: Deadband</t>
  </si>
  <si>
    <t>Under Frequency Droop dbUF â€” Deadband around nominal frequency before active power increase/response begins.</t>
  </si>
  <si>
    <t>UnderFrequencyDroop_dbUF</t>
  </si>
  <si>
    <t>FrequencyActivePowerMode.UnderFrequencyDroop_kUF</t>
  </si>
  <si>
    <t>Under-Frequency Droop: Gain (k)</t>
  </si>
  <si>
    <t>Under Frequency Droop kUF â€” Slope (gain k) of active power response versus frequency drop below nominal.</t>
  </si>
  <si>
    <t>UnderFrequencyDroop_kUF</t>
  </si>
  <si>
    <t>BackupPower.OffGridOutput</t>
  </si>
  <si>
    <t>Off-Grid Output</t>
  </si>
  <si>
    <t>Controls whether the inverter provides AC output when operating without the utility grid. Disable to prevent output in off-grid mode.</t>
  </si>
  <si>
    <t>BackupPower</t>
  </si>
  <si>
    <t>OffGridOutput</t>
  </si>
  <si>
    <t>{
    "code": 0,
    "message": "Success",
    "version": "1.0",
    "requestId": 123,
    "timestamp": 1736141811,
    "data": {
        "code": 0,
        "message": "Success",
        "Elements": [
            {
                "MEP": "HybridInverter",
                "Cluster": "BackupPower",
                "Element": "OffGridOutput",
                "arguments": {
                    "Mode": "Enable"
                },
                "code": 0,
                "Data": "Success"
            }
        ]
    }
}</t>
  </si>
  <si>
    <t>{
    "version": "1.0",
    "timeout": 60,
    "requestId": 123,
    "endPoint": "Matter",
    "method": "Write",
    "data": {
        "Elements": [
            {
                "MEP": "HybridInverter",
                "Cluster": "BackupPower",
                "Element": "OffGridOutput",
                "arguments": {
                    "Mode": "Enable"
                }
            }
        ],
        "thingId": {
            "Type": "Inverter",
            "Mn": "fortress",
            "Md": "FP-ENVY-Inverter",
            "SN": "04237218B0"
        }
    }
}</t>
  </si>
  <si>
    <t>{
    "code": 0,
    "message": "Success",
    "version": "1.0",
    "requestId": 123,
    "timestamp": 1736141719,
    "data": {
        "code": 0,
        "message": "Success",
        "Elements": [
            {
                "MEP": "HybridInverter",
                "Cluster": "BackupPower",
                "Element": "OffGridOutput",
                "code": 0,
                "Data": {
                    "Mode": "Disable"
                }
            }
        ]
    }
}</t>
  </si>
  <si>
    <t>{
    "version": "1.0",
    "timeout": 60,
    "requestId": 123,
    "endPoint": "Matter",
    "method": "Read",
    "data": {
        "Elements": [
            {
                "MEP": "HybridInverter",
                "Cluster": "BackupPower",
                "Element": "OffGridOutput"
            }
        ],
        "thingId": {
            "Type": "Inverter",
            "Mn": "fortress",
            "Md": "FP-ENVY-Inverter",
            "SN": "04237218B0"
        }
    }
}</t>
  </si>
  <si>
    <t>BackupPower.EPSVoltage</t>
  </si>
  <si>
    <t>Backup (EPS) Output Voltage</t>
  </si>
  <si>
    <t>Selects the AC output voltage when operating in backup (EPS) mode. Match this to your local service voltage for proper compatibility with connected loads.</t>
  </si>
  <si>
    <t>EPSVoltage</t>
  </si>
  <si>
    <t>Voltage</t>
  </si>
  <si>
    <t>Voltage (Vac)</t>
  </si>
  <si>
    <t>208 V,220 V,230 V,240 V,277 V</t>
  </si>
  <si>
    <t>Generator.LinkedPort</t>
  </si>
  <si>
    <t>Generator Port Connection</t>
  </si>
  <si>
    <t>If using a generator, select which port it's connected to â€” either the GEN port or the Grid Input port (sometimes called microgrid mode). If no generator is installed, leave this setting on GEN port.</t>
  </si>
  <si>
    <t>Generator</t>
  </si>
  <si>
    <t>LinkedPort</t>
  </si>
  <si>
    <t>{
    "code": 0,
    "message": "Success",
    "version": "1.0",
    "requestId": 123,
    "timestamp": 1735094284,
    "data": {
        "code": 0,
        "message": "Success",
        "Elements": [
            {
                "MEP": "HybridInverter",
                "Cluster": "Generator",
                "Element": "LinkedPort",
                "arguments": {
                    "Port": "GridPort"
                },
                "code": 0,
                "message": "Success"
            }
        ]
    }
}</t>
  </si>
  <si>
    <t>{
    "version": "1.0",
    "timeout": 60,
    "requestId": 123,
    "endPoint": "Matter",
    "method": "Write",
    "data": {
        "Elements": [
            {
                "MEP": "HybridInverter",
                "Cluster": "Generator",
                "Element": "LinkedPort",
                "arguments": {
                    "Port": "GridPort"
                }
            }
        ],
        "thingId": {
            "Type": "Inverter",
            "Mn": "fortress",
            "Md": "FP-ENVY-Inverter",
            "SN": "04237218B0"
        }
    }
}</t>
  </si>
  <si>
    <t>{
    "code": 0,
    "message": "Success",
    "version": "1.0",
    "requestId": 123,
    "timestamp": 1735094100,
    "data": {
        "code": 0,
        "message": "Success",
        "Elements": [
            {
                "MEP": "HybridInverter",
                "Cluster": "Generator",
                "Element": "LinkedPort",
                "code": 0,
                "message": {
                    "Port": "GeneratorPort"
                }
            }
        ]
    }
}</t>
  </si>
  <si>
    <t>{
    "version": "1.0",
    "timeout": 60,
    "requestId": 123,
    "endPoint": "Matter",
    "method": "Read",
    "data": {
        "Elements": [
            {
                "MEP": "HybridInverter",
                "Cluster": "Generator",
                "Element": "LinkedPort"
            }
        ],
        "thingId": {
            "Type": "Inverter",
            "Mn": "fortress",
            "Md": "FP-ENVY-Inverter",
            "SN": "04237218B0"
        }
    }
}</t>
  </si>
  <si>
    <t>Port</t>
  </si>
  <si>
    <t>Generator connected to</t>
  </si>
  <si>
    <t>GeneratorPort,GridPort</t>
  </si>
  <si>
    <t>GEN port (also select if not using generator).,Grid port (aka microgrid mode)</t>
  </si>
  <si>
    <t>Generator.BatteryChargeCurrentLimit</t>
  </si>
  <si>
    <t>Battery Charge Current Limit</t>
  </si>
  <si>
    <t>Sets the maximum DC current the inverter will send to the battery when charging from the generator.</t>
  </si>
  <si>
    <t>BatteryChargeCurrentLimit</t>
  </si>
  <si>
    <t>Current</t>
  </si>
  <si>
    <t>Charge Current (Adc)</t>
  </si>
  <si>
    <t>Generator.GeneratorRatedPower</t>
  </si>
  <si>
    <t>Generator Rated Power</t>
  </si>
  <si>
    <t>Specify the generator's continuous rated output power.</t>
  </si>
  <si>
    <t>GeneratorRatedPower</t>
  </si>
  <si>
    <t>Rated Power (kW)</t>
  </si>
  <si>
    <t>Generator.GeneratorCoolDownTime</t>
  </si>
  <si>
    <t>Generator Cool-Down Time</t>
  </si>
  <si>
    <t>Sets the time the generator continues running after charging stops to allow for safe cooling.</t>
  </si>
  <si>
    <t>GeneratorCoolDownTime</t>
  </si>
  <si>
    <t>Cool-Down Time (min)</t>
  </si>
  <si>
    <t>Generator.GeneratorSOC</t>
  </si>
  <si>
    <t>Generator Start/Stop SOC</t>
  </si>
  <si>
    <t>Configures the battery state of charge thresholds for automatic generator control. The generator will start when battery SOC drops to StartSOC and stop when it reaches StopSOC.</t>
  </si>
  <si>
    <t>GeneratorSOC</t>
  </si>
  <si>
    <t>StartSOC</t>
  </si>
  <si>
    <t>Generator starts when battery drops to this level</t>
  </si>
  <si>
    <t>Generator stops when battery charges to this level</t>
  </si>
  <si>
    <t>Generator.GenDryContact</t>
  </si>
  <si>
    <t>Generator Contactor Status</t>
  </si>
  <si>
    <t>Indicates the current state of the generator control contactor.</t>
  </si>
  <si>
    <t>GenDryContact</t>
  </si>
  <si>
    <t>Contactor State</t>
  </si>
  <si>
    <t>OFF,ON</t>
  </si>
  <si>
    <t>Closed / On,Open / Off</t>
  </si>
  <si>
    <t>Generator.StartGeneratorExercise</t>
  </si>
  <si>
    <t>Battery Quick Charge with Generator</t>
  </si>
  <si>
    <t>Start the generator to charge the battery.</t>
  </si>
  <si>
    <t>StartGeneratorExercise</t>
  </si>
  <si>
    <t>Stop quick charge,Start quick charge</t>
  </si>
  <si>
    <t>Generator.GeneratorBoost</t>
  </si>
  <si>
    <t>Generator Boost</t>
  </si>
  <si>
    <t>Enables dynamic adjustment of generator charging power for faster battery recovery when needed.</t>
  </si>
  <si>
    <t>GeneratorBoost</t>
  </si>
  <si>
    <t>ACCoupledPV.ACCoupledPV</t>
  </si>
  <si>
    <t>AC Coupled PV</t>
  </si>
  <si>
    <t>Enable this option when connecting a grid-tied solar inverter (AC Coupled PV) to the system. Disable when no AC Coupled PV is present.</t>
  </si>
  <si>
    <t>ACCoupledPV</t>
  </si>
  <si>
    <t>{
    "code": 0,
    "message": "Success",
    "version": "1.0",
    "requestId": 123,
    "timestamp": 1735109864,
    "data": {
        "code": 0,
        "message": "Success",
        "Elements": [
            {
                "MEP": "HybridInverter",
                "Cluster": "ACCoupledPV",
                "Element": "ACCoupledPV",
                "arguments": {
                    "Mode": "Enable"
                },
                "code": 0,
                "message": "Success"
            }
        ]
    }
}</t>
  </si>
  <si>
    <t>{
    "version": "1.0",
    "timeout": 60,
    "requestId": 123,
    "endPoint": "Matter",
    "method": "Write",
    "data": {
        "Elements": [
            {
                "MEP": "HybridInverter",
                "Cluster": "ACCoupledPV",
                "Element": "ACCoupledPV",
                "arguments": {
                    "Mode": "Enable"
                }
            }
        ],
        "thingId": {
            "Type": "Inverter",
            "Mn": "fortress",
            "Md": "FP-ENVY-Inverter",
            "SN": "04237218B0"
        }
    }
}</t>
  </si>
  <si>
    <t>{
    "code": 0,
    "message": "Success",
    "version": "1.0",
    "requestId": 123,
    "timestamp": 1735109816,
    "data": {
        "code": 0,
        "message": "Success",
        "Elements": [
            {
                "MEP": "HybridInverter",
                "Cluster": "ACCoupledPV",
                "Element": "ACCoupledPV",
                "code": 0,
                "message": {
                    "Mode": "Disable"
                }
            }
        ]
    }
}</t>
  </si>
  <si>
    <t>{
    "version": "1.0",
    "timeout": 60,
    "requestId": 123,
    "endPoint": "Matter",
    "method": "Read",
    "data": {
        "Elements": [
            {
                "MEP": "HybridInverter",
                "Cluster": "ACCoupledPV",
                "Element": "ACCoupledPV"
            }
        ],
        "thingId": {
            "Type": "Inverter",
            "Mn": "fortress",
            "Md": "FP-ENVY-Inverter",
            "SN": "04237218B0"
        }
    }
}</t>
  </si>
  <si>
    <t>AC Coupled PV Mode</t>
  </si>
  <si>
    <t>ACCoupledPV.ACCouplePVSOC</t>
  </si>
  <si>
    <t>AC Coupled PV Start/Stop SOC</t>
  </si>
  <si>
    <t>Defines the battery state-of-charge thresholds that control when the inverter allows AC Coupled PV charging to start and stop.</t>
  </si>
  <si>
    <t>ACCouplePVSOC</t>
  </si>
  <si>
    <t>AC Coupled PV begins charging when SOC drops to this level</t>
  </si>
  <si>
    <t>AC Coupled PV stops charging when SOC reaches this level</t>
  </si>
  <si>
    <t>LoadShedding.SmartLoad</t>
  </si>
  <si>
    <t>Use Smart Load</t>
  </si>
  <si>
    <t>Powers non-essential loads only when excess solar or battery energy is available. Enable this to automatically use surplus energy for optional circuits.</t>
  </si>
  <si>
    <t>LoadShedding</t>
  </si>
  <si>
    <t>SmartLoad</t>
  </si>
  <si>
    <t>{
    "code": 0,
    "message": "Success",
    "version": "1.0",
    "requestId": 123,
    "timestamp": 1736143061,
    "data": {
        "code": 0,
        "message": "Success",
        "Elements": [
            {
                "MEP": "HybridInverter",
                "Cluster": "LoadShedding",
                "Element": "SmartLoad",
                "arguments": {
                    "Mode": "Enable"
                },
                "code": 0,
                "Data": "Success"
            }
        ]
    }
}</t>
  </si>
  <si>
    <t>{
    "version": "1.0",
    "timeout": 60,
    "requestId": 123,
    "endPoint": "Matter",
    "method": "Write",
    "data": {
        "Elements": [
            {
                "MEP": "HybridInverter",
                "Cluster": "LoadShedding",
                "Element": "SmartLoad",
                "arguments": {
                    "Mode": "Enable"
                }
            }
        ],
        "thingId": {
            "Type": "Inverter",
            "Mn": "fortress",
            "Md": "FP-ENVY-Inverter",
            "SN": "04237218B0"
        }
    }
}</t>
  </si>
  <si>
    <t>{
    "code": 0,
    "message": "Success",
    "version": "1.0",
    "requestId": 123,
    "timestamp": 1736143032,
    "data": {
        "code": 0,
        "message": "Success",
        "Elements": [
            {
                "MEP": "HybridInverter",
                "Cluster": "LoadShedding",
                "Element": "SmartLoad",
                "code": 0,
                "Data": {
                    "Mode": "Disable"
                }
            }
        ]
    }
}</t>
  </si>
  <si>
    <t>{
    "version": "1.0",
    "timeout": 60,
    "requestId": 123,
    "endPoint": "Matter",
    "method": "Read",
    "data": {
        "Elements": [
            {
                "MEP": "HybridInverter",
                "Cluster": "LoadShedding",
                "Element": "SmartLoad"
            }
        ],
        "thingId": {
            "Type": "Inverter",
            "Mn": "fortress",
            "Md": "FP-ENVY-Inverter",
            "SN": "04237218B0"
        }
    }
}</t>
  </si>
  <si>
    <t>Disabled,Enabled</t>
  </si>
  <si>
    <t>LoadShedding.OnGridAlwaysOn</t>
  </si>
  <si>
    <t>Smart Load On-Grid Behavior</t>
  </si>
  <si>
    <t>Determines Smart Load behavior while the system is connected to the grid. When enabled, the Smart Load remains powered even if normal control conditions are not met. (AKA: **On-Grid Always On**.)</t>
  </si>
  <si>
    <t>OnGridAlwaysOn</t>
  </si>
  <si>
    <t>On-Grid Always-On Mode</t>
  </si>
  <si>
    <t>Follow normal rules,Always On When Grid Present</t>
  </si>
  <si>
    <t>LoadShedding.StartPVPower</t>
  </si>
  <si>
    <t>Smart Load Start Power</t>
  </si>
  <si>
    <t>Defines when the Smart Load turns on. The Smart Load port is energized once PV power exceeds this threshold **and** the battery SOC is above the start limit.</t>
  </si>
  <si>
    <t>StartPVPower</t>
  </si>
  <si>
    <t>PV Power Above (W)</t>
  </si>
  <si>
    <t>LoadShedding.SmartLoadSOC</t>
  </si>
  <si>
    <t>Smart Load SOC Limits</t>
  </si>
  <si>
    <t>Defines the battery state-of-charge limits that control the Smart Load. The Smart Load turns on when SOC rises above the start limit **and** PV power exceeds the start power limit.  Smart load turns off when SOC falls below the stop limit.</t>
  </si>
  <si>
    <t>SmartLoadSOC</t>
  </si>
  <si>
    <t>OnSOC</t>
  </si>
  <si>
    <t>Start When Battery SOC Is Above (%)</t>
  </si>
  <si>
    <t>OffSOC</t>
  </si>
  <si>
    <t>Stop When Battery SOC Is Below (%)</t>
  </si>
  <si>
    <t>Field</t>
  </si>
  <si>
    <t>Description</t>
  </si>
  <si>
    <t>Unique identifier (e.g., Basic.SystemTime)</t>
  </si>
  <si>
    <t>Display name</t>
  </si>
  <si>
    <t>attribute, service, or custom</t>
  </si>
  <si>
    <t>R, RW, or INVOKE</t>
  </si>
  <si>
    <t>Matter protocol identifier – MEP</t>
  </si>
  <si>
    <t>Matter protocol identifier – Cluster</t>
  </si>
  <si>
    <t>Matter protocol identifier – Element</t>
  </si>
  <si>
    <t>Argument name used in protocol payloads (e.g., Year, Mon, SOC). Must be unique within a point. Used as the key when sending/receiving data.</t>
  </si>
  <si>
    <t>Display label shown in the UI (e.g., Year, Month, State of Charge). Human-readable name for the entry field.</t>
  </si>
  <si>
    <t>Data type: Number (numeric), Enum (discrete), String (text)</t>
  </si>
  <si>
    <t>Extended description for help modals or detailed views.</t>
  </si>
  <si>
    <t>Unit of measurement displayed after the value (e.g., V, kW, %, °C). Shown in UI but not sent in payloads.</t>
  </si>
  <si>
    <t>Minimum allowed value (for Number dtype). Used for min validation and slider range.</t>
  </si>
  <si>
    <t>Maximum allowed value (for Number dtype). Used for max validation and slider range.</t>
  </si>
  <si>
    <t>Constraint referencing another entry’s arg (e.g., StopSOC). Ensures this value is less than the referenced one.</t>
  </si>
  <si>
    <t>Constraint referencing another entry’s arg (e.g., StartSOC). Ensures this value is greater than the referenced one.</t>
  </si>
  <si>
    <t>Enum value mappings (raw protocol values). Format: comma-separated labels (e.g., Off-grid,Grid-tied).</t>
  </si>
  <si>
    <t>User-friendly enum labels shown in UI. Format: comma-separated labels (e.g., Off-Grid. There is no available power grid,Grid-Tied. Grid power is available.)</t>
  </si>
  <si>
    <t>说明</t>
  </si>
  <si>
    <t>唯一标识符（例如 Basic.SystemTime）</t>
  </si>
  <si>
    <t>显示名称</t>
  </si>
  <si>
    <t>描述文本</t>
  </si>
  <si>
    <t>元素类型：attribute（属性）、service（服务）或 custom（自定义）</t>
  </si>
  <si>
    <t>访问权限：R（只读）、RW（读写）或 INVOKE（调用）</t>
  </si>
  <si>
    <t>Matter 协议标识符 – MEP</t>
  </si>
  <si>
    <t>Matter 协议标识符 – Cluster（簇）</t>
  </si>
  <si>
    <t>Matter 协议标识符 – Element（元素）</t>
  </si>
  <si>
    <t>协议负载中的参数名（例如 Year、Mon、SOC）。在同一个点内必须唯一。用于发送/接收数据时的键。</t>
  </si>
  <si>
    <t>UI 中显示的标签名称（例如 年、月、荷电状态）。供用户阅读的字段名称。</t>
  </si>
  <si>
    <t>数据类型：Number（数值型）、Enum（枚举型）、String（字符串）</t>
  </si>
  <si>
    <t>UI 中的简短说明或提示。简要解释该字段的含义。</t>
  </si>
  <si>
    <t>在帮助弹窗或详细视图中显示的长说明。比 description 更全面。</t>
  </si>
  <si>
    <t>显示在数值后的单位（例如 V、kW、%、°C）。仅在 UI 显示，不在协议负载中传输。</t>
  </si>
  <si>
    <t>允许的最小值（仅用于 Number 类型）。用于输入验证或滑块最小范围。</t>
  </si>
  <si>
    <t>允许的最大值（仅用于 Number 类型）。用于输入验证或滑块最大范围。</t>
  </si>
  <si>
    <t>引用另一字段的约束（例如 StopSOC）。确保当前值小于被引用字段。</t>
  </si>
  <si>
    <t>引用另一字段的约束（例如 StartSOC）。确保当前值大于被引用字段。</t>
  </si>
  <si>
    <t>枚举值映射（原始协议值）。格式：逗号分隔标签（例如 Off-grid,Grid-tied）。</t>
  </si>
  <si>
    <t>UI 显示的友好标签。格式：逗号分隔说明（例如 Off-Grid：无电网供电，Grid-Tied：连接电网运行）。</t>
  </si>
  <si>
    <t>Tooltip text</t>
  </si>
  <si>
    <t>Short description of the value being adjusted</t>
  </si>
  <si>
    <t>%</t>
  </si>
  <si>
    <t>kW</t>
  </si>
  <si>
    <t>Vdc</t>
  </si>
  <si>
    <t>Start SOC</t>
  </si>
  <si>
    <t>Stop SOC</t>
  </si>
  <si>
    <t>Vac</t>
  </si>
  <si>
    <t>Hz</t>
  </si>
  <si>
    <t>Date and time the inverter will use to run schedules</t>
  </si>
  <si>
    <t>telemetry_model</t>
  </si>
  <si>
    <t>telemetry_block</t>
  </si>
  <si>
    <t>telemetry_point</t>
  </si>
  <si>
    <t>fixed</t>
  </si>
  <si>
    <t>Month</t>
  </si>
  <si>
    <t>Minute</t>
  </si>
  <si>
    <t>Second</t>
  </si>
  <si>
    <t>pChgT1</t>
  </si>
  <si>
    <t>chgST1</t>
  </si>
  <si>
    <t>telemetry_bitsplit_map</t>
  </si>
  <si>
    <t>chgST2</t>
  </si>
  <si>
    <t>chgET1</t>
  </si>
  <si>
    <t>chgET2</t>
  </si>
  <si>
    <t>chgST3</t>
  </si>
  <si>
    <t>chgET3</t>
  </si>
  <si>
    <t>pDischgT1</t>
  </si>
  <si>
    <t>pDischgTEndT1</t>
  </si>
  <si>
    <t>dischgST1</t>
  </si>
  <si>
    <t>dischgET1</t>
  </si>
  <si>
    <t>dischgST2</t>
  </si>
  <si>
    <t>dischgET2</t>
  </si>
  <si>
    <t>dischgST3</t>
  </si>
  <si>
    <t>dischgET3</t>
  </si>
  <si>
    <t>acChgST1</t>
  </si>
  <si>
    <t>acChgET1</t>
  </si>
  <si>
    <t>acChgST2</t>
  </si>
  <si>
    <t>acChgET2</t>
  </si>
  <si>
    <t>acChgST3</t>
  </si>
  <si>
    <t>acChgET3</t>
  </si>
  <si>
    <t>GridVoltLimit1High</t>
  </si>
  <si>
    <t>GridVoltLimit1Low</t>
  </si>
  <si>
    <t>GridVoltLimit2High</t>
  </si>
  <si>
    <t>GridVoltLimit2Low</t>
  </si>
  <si>
    <t>GridVoltLimit3High</t>
  </si>
  <si>
    <t>GridVoltLimit3Low</t>
  </si>
  <si>
    <t>GridFreqLimit1High</t>
  </si>
  <si>
    <t>GridFreqLimit1Low</t>
  </si>
  <si>
    <t>GridFreqLimit2High</t>
  </si>
  <si>
    <t>GridFreqLimit2Low</t>
  </si>
  <si>
    <t>GridFreqLimit3High</t>
  </si>
  <si>
    <t>GridFreqLimit3Low</t>
  </si>
  <si>
    <t>GridVoltLimit1LowTime</t>
  </si>
  <si>
    <t>GridVoltLimit1HighTime</t>
  </si>
  <si>
    <t>GridVoltLimit2LowTime</t>
  </si>
  <si>
    <t>GridVoltLimit3HighTime</t>
  </si>
  <si>
    <t>GridVoltLimit3LowTime</t>
  </si>
  <si>
    <t>GridFreqLimit1HighTime</t>
  </si>
  <si>
    <t>GridFreqLimit1LowTime</t>
  </si>
  <si>
    <t>GridFreqLimit2HighTime</t>
  </si>
  <si>
    <t>GridFreqLimit2LowTime</t>
  </si>
  <si>
    <t>GridFreqLimit3HighTime</t>
  </si>
  <si>
    <t>GridFreqLimit3LowTime</t>
  </si>
  <si>
    <t>ConstantPowerFactorExcited</t>
  </si>
  <si>
    <t>ConstantReactivePowerModeExcited</t>
  </si>
  <si>
    <t>UnderOverV1</t>
  </si>
  <si>
    <t>UnderOverV2</t>
  </si>
  <si>
    <t>UnderOverV3</t>
  </si>
  <si>
    <t>UnderOverV4</t>
  </si>
  <si>
    <t>VqOpenLoopResponseTime</t>
  </si>
  <si>
    <t>PQP1</t>
  </si>
  <si>
    <t>PQP2</t>
  </si>
  <si>
    <t>PQP3</t>
  </si>
  <si>
    <t>VoltWattOpenLoopResponseTime</t>
  </si>
  <si>
    <t>FreqWattOpenLoopResponseTime</t>
  </si>
  <si>
    <t>socGenStart</t>
  </si>
  <si>
    <t>socGenEnd</t>
  </si>
  <si>
    <t>socAcCplOn</t>
  </si>
  <si>
    <t>socAcCplOff</t>
  </si>
  <si>
    <t>SmartLoadOnSoc</t>
  </si>
  <si>
    <t>SmartLoadOffSoc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</si>
</sst>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u/>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3" fontId="0" fillId="0" borderId="0" xfId="0" applyNumberFormat="1"/>
    <xf numFmtId="0" fontId="18"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18FA1-FB06-434A-AE03-317509CD1F45}">
  <dimension ref="A2:C22"/>
  <sheetViews>
    <sheetView workbookViewId="0">
      <selection activeCell="C15" sqref="C15"/>
    </sheetView>
  </sheetViews>
  <sheetFormatPr defaultRowHeight="15" x14ac:dyDescent="0.25"/>
  <cols>
    <col min="1" max="1" width="24.140625" style="1" customWidth="1"/>
    <col min="2" max="2" width="71.140625" style="1" customWidth="1"/>
    <col min="3" max="3" width="66.140625" style="1" customWidth="1"/>
    <col min="4" max="16384" width="9.140625" style="1"/>
  </cols>
  <sheetData>
    <row r="2" spans="1:3" x14ac:dyDescent="0.25">
      <c r="A2" s="3" t="s">
        <v>787</v>
      </c>
      <c r="B2" s="3" t="s">
        <v>807</v>
      </c>
      <c r="C2" s="3" t="s">
        <v>788</v>
      </c>
    </row>
    <row r="3" spans="1:3" x14ac:dyDescent="0.25">
      <c r="A3" s="1" t="s">
        <v>0</v>
      </c>
      <c r="B3" s="1" t="s">
        <v>808</v>
      </c>
      <c r="C3" s="1" t="s">
        <v>789</v>
      </c>
    </row>
    <row r="4" spans="1:3" x14ac:dyDescent="0.25">
      <c r="A4" s="1" t="s">
        <v>1</v>
      </c>
      <c r="B4" s="1" t="s">
        <v>809</v>
      </c>
      <c r="C4" s="1" t="s">
        <v>790</v>
      </c>
    </row>
    <row r="5" spans="1:3" x14ac:dyDescent="0.25">
      <c r="A5" s="1" t="s">
        <v>2</v>
      </c>
      <c r="B5" s="1" t="s">
        <v>810</v>
      </c>
      <c r="C5" s="1" t="s">
        <v>828</v>
      </c>
    </row>
    <row r="6" spans="1:3" x14ac:dyDescent="0.25">
      <c r="A6" s="1" t="s">
        <v>3</v>
      </c>
      <c r="B6" s="1" t="s">
        <v>811</v>
      </c>
      <c r="C6" s="1" t="s">
        <v>791</v>
      </c>
    </row>
    <row r="7" spans="1:3" x14ac:dyDescent="0.25">
      <c r="A7" s="1" t="s">
        <v>4</v>
      </c>
      <c r="B7" s="1" t="s">
        <v>812</v>
      </c>
      <c r="C7" s="1" t="s">
        <v>792</v>
      </c>
    </row>
    <row r="8" spans="1:3" x14ac:dyDescent="0.25">
      <c r="A8" s="1" t="s">
        <v>5</v>
      </c>
      <c r="B8" s="1" t="s">
        <v>813</v>
      </c>
      <c r="C8" s="1" t="s">
        <v>793</v>
      </c>
    </row>
    <row r="9" spans="1:3" x14ac:dyDescent="0.25">
      <c r="A9" s="1" t="s">
        <v>6</v>
      </c>
      <c r="B9" s="1" t="s">
        <v>814</v>
      </c>
      <c r="C9" s="1" t="s">
        <v>794</v>
      </c>
    </row>
    <row r="10" spans="1:3" x14ac:dyDescent="0.25">
      <c r="A10" s="1" t="s">
        <v>7</v>
      </c>
      <c r="B10" s="1" t="s">
        <v>815</v>
      </c>
      <c r="C10" s="1" t="s">
        <v>795</v>
      </c>
    </row>
    <row r="11" spans="1:3" ht="45" x14ac:dyDescent="0.25">
      <c r="A11" s="1" t="s">
        <v>14</v>
      </c>
      <c r="B11" s="1" t="s">
        <v>816</v>
      </c>
      <c r="C11" s="1" t="s">
        <v>796</v>
      </c>
    </row>
    <row r="12" spans="1:3" ht="30" x14ac:dyDescent="0.25">
      <c r="A12" s="1" t="s">
        <v>15</v>
      </c>
      <c r="B12" s="1" t="s">
        <v>817</v>
      </c>
      <c r="C12" s="1" t="s">
        <v>797</v>
      </c>
    </row>
    <row r="13" spans="1:3" x14ac:dyDescent="0.25">
      <c r="A13" s="1" t="s">
        <v>16</v>
      </c>
      <c r="B13" s="1" t="s">
        <v>818</v>
      </c>
      <c r="C13" s="1" t="s">
        <v>798</v>
      </c>
    </row>
    <row r="14" spans="1:3" x14ac:dyDescent="0.25">
      <c r="A14" s="1" t="s">
        <v>17</v>
      </c>
      <c r="B14" s="1" t="s">
        <v>819</v>
      </c>
      <c r="C14" s="1" t="s">
        <v>829</v>
      </c>
    </row>
    <row r="15" spans="1:3" x14ac:dyDescent="0.25">
      <c r="A15" s="1" t="s">
        <v>18</v>
      </c>
      <c r="B15" s="1" t="s">
        <v>820</v>
      </c>
      <c r="C15" s="1" t="s">
        <v>799</v>
      </c>
    </row>
    <row r="16" spans="1:3" ht="30" x14ac:dyDescent="0.25">
      <c r="A16" s="1" t="s">
        <v>19</v>
      </c>
      <c r="B16" s="1" t="s">
        <v>821</v>
      </c>
      <c r="C16" s="1" t="s">
        <v>800</v>
      </c>
    </row>
    <row r="17" spans="1:3" ht="30" x14ac:dyDescent="0.25">
      <c r="A17" s="1" t="s">
        <v>20</v>
      </c>
      <c r="B17" s="1" t="s">
        <v>822</v>
      </c>
      <c r="C17" s="1" t="s">
        <v>801</v>
      </c>
    </row>
    <row r="18" spans="1:3" ht="30" x14ac:dyDescent="0.25">
      <c r="A18" s="1" t="s">
        <v>21</v>
      </c>
      <c r="B18" s="1" t="s">
        <v>823</v>
      </c>
      <c r="C18" s="1" t="s">
        <v>802</v>
      </c>
    </row>
    <row r="19" spans="1:3" ht="30" x14ac:dyDescent="0.25">
      <c r="A19" s="1" t="s">
        <v>22</v>
      </c>
      <c r="B19" s="1" t="s">
        <v>824</v>
      </c>
      <c r="C19" s="1" t="s">
        <v>803</v>
      </c>
    </row>
    <row r="20" spans="1:3" ht="30" x14ac:dyDescent="0.25">
      <c r="A20" s="1" t="s">
        <v>23</v>
      </c>
      <c r="B20" s="1" t="s">
        <v>825</v>
      </c>
      <c r="C20" s="1" t="s">
        <v>804</v>
      </c>
    </row>
    <row r="21" spans="1:3" ht="30" x14ac:dyDescent="0.25">
      <c r="A21" s="1" t="s">
        <v>24</v>
      </c>
      <c r="B21" s="1" t="s">
        <v>826</v>
      </c>
      <c r="C21" s="1" t="s">
        <v>805</v>
      </c>
    </row>
    <row r="22" spans="1:3" ht="45" x14ac:dyDescent="0.25">
      <c r="A22" s="1" t="s">
        <v>25</v>
      </c>
      <c r="B22" s="1" t="s">
        <v>827</v>
      </c>
      <c r="C22" s="1" t="s">
        <v>806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E6F9F-94E9-4923-9FA9-34B4E6FF732D}">
  <dimension ref="A1:AD177"/>
  <sheetViews>
    <sheetView tabSelected="1" zoomScale="85" zoomScaleNormal="85" workbookViewId="0">
      <selection activeCell="A2" sqref="A2"/>
    </sheetView>
  </sheetViews>
  <sheetFormatPr defaultRowHeight="40.5" customHeight="1" x14ac:dyDescent="0.25"/>
  <cols>
    <col min="1" max="1" width="25.28515625" customWidth="1"/>
    <col min="2" max="2" width="18.85546875" customWidth="1"/>
    <col min="3" max="3" width="66.5703125" style="1" customWidth="1"/>
    <col min="11" max="11" width="16" customWidth="1"/>
    <col min="15" max="15" width="23.85546875" bestFit="1" customWidth="1"/>
    <col min="16" max="16" width="32.7109375" bestFit="1" customWidth="1"/>
    <col min="29" max="29" width="32.5703125" bestFit="1" customWidth="1"/>
  </cols>
  <sheetData>
    <row r="1" spans="1:30" ht="40.5" customHeight="1" x14ac:dyDescent="0.25">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838</v>
      </c>
      <c r="AB1" t="s">
        <v>839</v>
      </c>
      <c r="AC1" t="s">
        <v>840</v>
      </c>
      <c r="AD1" t="s">
        <v>847</v>
      </c>
    </row>
    <row r="2" spans="1:30" ht="40.5" customHeight="1" x14ac:dyDescent="0.25">
      <c r="A2" t="s">
        <v>26</v>
      </c>
      <c r="B2" t="s">
        <v>27</v>
      </c>
      <c r="C2" s="1" t="s">
        <v>837</v>
      </c>
      <c r="D2" t="s">
        <v>28</v>
      </c>
      <c r="E2" t="s">
        <v>29</v>
      </c>
      <c r="F2" t="s">
        <v>30</v>
      </c>
      <c r="G2" t="s">
        <v>31</v>
      </c>
      <c r="H2" t="s">
        <v>32</v>
      </c>
      <c r="K2" s="1" t="s">
        <v>33</v>
      </c>
      <c r="L2" s="1" t="s">
        <v>34</v>
      </c>
      <c r="M2" s="1" t="s">
        <v>35</v>
      </c>
      <c r="N2" s="1" t="s">
        <v>36</v>
      </c>
      <c r="O2" t="s">
        <v>37</v>
      </c>
      <c r="P2" t="s">
        <v>37</v>
      </c>
      <c r="Q2" t="s">
        <v>38</v>
      </c>
      <c r="U2">
        <v>0</v>
      </c>
      <c r="V2">
        <v>99</v>
      </c>
      <c r="AA2">
        <v>40104</v>
      </c>
      <c r="AB2" t="s">
        <v>841</v>
      </c>
      <c r="AC2" t="s">
        <v>37</v>
      </c>
    </row>
    <row r="3" spans="1:30" ht="40.5" customHeight="1" x14ac:dyDescent="0.25">
      <c r="O3" t="s">
        <v>39</v>
      </c>
      <c r="P3" t="s">
        <v>39</v>
      </c>
      <c r="Q3" t="s">
        <v>38</v>
      </c>
      <c r="U3">
        <v>1</v>
      </c>
      <c r="V3">
        <v>12</v>
      </c>
      <c r="AA3">
        <v>40104</v>
      </c>
      <c r="AB3" t="s">
        <v>841</v>
      </c>
      <c r="AC3" t="s">
        <v>842</v>
      </c>
    </row>
    <row r="4" spans="1:30" ht="40.5" customHeight="1" x14ac:dyDescent="0.25">
      <c r="O4" t="s">
        <v>40</v>
      </c>
      <c r="P4" t="s">
        <v>40</v>
      </c>
      <c r="Q4" t="s">
        <v>38</v>
      </c>
      <c r="U4">
        <v>1</v>
      </c>
      <c r="V4">
        <v>31</v>
      </c>
      <c r="AA4">
        <v>40104</v>
      </c>
      <c r="AB4" t="s">
        <v>841</v>
      </c>
      <c r="AC4" t="s">
        <v>40</v>
      </c>
    </row>
    <row r="5" spans="1:30" ht="40.5" customHeight="1" x14ac:dyDescent="0.25">
      <c r="O5" t="s">
        <v>41</v>
      </c>
      <c r="P5" t="s">
        <v>41</v>
      </c>
      <c r="Q5" t="s">
        <v>38</v>
      </c>
      <c r="U5">
        <v>0</v>
      </c>
      <c r="V5">
        <v>23</v>
      </c>
      <c r="AA5">
        <v>40104</v>
      </c>
      <c r="AB5" t="s">
        <v>841</v>
      </c>
      <c r="AC5" t="s">
        <v>41</v>
      </c>
    </row>
    <row r="6" spans="1:30" ht="40.5" customHeight="1" x14ac:dyDescent="0.25">
      <c r="O6" t="s">
        <v>42</v>
      </c>
      <c r="P6" t="s">
        <v>42</v>
      </c>
      <c r="Q6" t="s">
        <v>38</v>
      </c>
      <c r="U6">
        <v>0</v>
      </c>
      <c r="V6">
        <v>59</v>
      </c>
      <c r="AA6">
        <v>40104</v>
      </c>
      <c r="AB6" t="s">
        <v>841</v>
      </c>
      <c r="AC6" t="s">
        <v>843</v>
      </c>
    </row>
    <row r="7" spans="1:30" ht="40.5" customHeight="1" x14ac:dyDescent="0.25">
      <c r="O7" t="s">
        <v>43</v>
      </c>
      <c r="P7" t="s">
        <v>43</v>
      </c>
      <c r="Q7" t="s">
        <v>38</v>
      </c>
      <c r="U7">
        <v>0</v>
      </c>
      <c r="V7">
        <v>59</v>
      </c>
      <c r="AA7">
        <v>40104</v>
      </c>
      <c r="AB7" t="s">
        <v>841</v>
      </c>
      <c r="AC7" t="s">
        <v>844</v>
      </c>
    </row>
    <row r="8" spans="1:30" ht="40.5" customHeight="1" x14ac:dyDescent="0.25">
      <c r="A8" t="s">
        <v>44</v>
      </c>
      <c r="B8" t="s">
        <v>45</v>
      </c>
      <c r="C8" s="1" t="s">
        <v>46</v>
      </c>
      <c r="D8" t="s">
        <v>28</v>
      </c>
      <c r="E8" t="s">
        <v>29</v>
      </c>
      <c r="F8" t="s">
        <v>30</v>
      </c>
      <c r="G8" t="s">
        <v>31</v>
      </c>
      <c r="H8" t="s">
        <v>47</v>
      </c>
      <c r="O8" t="s">
        <v>48</v>
      </c>
      <c r="P8" t="s">
        <v>48</v>
      </c>
      <c r="Q8" t="s">
        <v>49</v>
      </c>
      <c r="Y8" t="s">
        <v>50</v>
      </c>
      <c r="Z8" t="s">
        <v>51</v>
      </c>
      <c r="AA8">
        <v>40104</v>
      </c>
      <c r="AB8" t="s">
        <v>841</v>
      </c>
      <c r="AC8" t="str">
        <f t="shared" ref="AC3:AC66" si="0">H8</f>
        <v>OperatingMode</v>
      </c>
    </row>
    <row r="9" spans="1:30" ht="40.5" customHeight="1" x14ac:dyDescent="0.25">
      <c r="A9" t="s">
        <v>52</v>
      </c>
      <c r="B9" t="s">
        <v>53</v>
      </c>
      <c r="C9" s="1" t="s">
        <v>54</v>
      </c>
      <c r="D9" t="s">
        <v>28</v>
      </c>
      <c r="E9" t="s">
        <v>29</v>
      </c>
      <c r="F9" t="s">
        <v>30</v>
      </c>
      <c r="G9" t="s">
        <v>31</v>
      </c>
      <c r="H9" t="s">
        <v>55</v>
      </c>
      <c r="O9" t="s">
        <v>48</v>
      </c>
      <c r="P9" t="s">
        <v>48</v>
      </c>
      <c r="Q9" t="s">
        <v>49</v>
      </c>
      <c r="Y9" t="s">
        <v>56</v>
      </c>
      <c r="Z9" t="s">
        <v>57</v>
      </c>
      <c r="AA9">
        <v>40104</v>
      </c>
      <c r="AB9" t="s">
        <v>841</v>
      </c>
      <c r="AC9" t="str">
        <f t="shared" si="0"/>
        <v>WorkMode</v>
      </c>
    </row>
    <row r="10" spans="1:30" ht="40.5" customHeight="1" x14ac:dyDescent="0.25">
      <c r="A10" t="s">
        <v>58</v>
      </c>
      <c r="B10" t="s">
        <v>59</v>
      </c>
      <c r="C10" s="1" t="s">
        <v>60</v>
      </c>
      <c r="D10" t="s">
        <v>28</v>
      </c>
      <c r="E10" t="s">
        <v>29</v>
      </c>
      <c r="F10" t="s">
        <v>30</v>
      </c>
      <c r="G10" t="s">
        <v>31</v>
      </c>
      <c r="H10" t="s">
        <v>61</v>
      </c>
      <c r="O10" t="s">
        <v>48</v>
      </c>
      <c r="P10" t="s">
        <v>62</v>
      </c>
      <c r="Q10" t="s">
        <v>49</v>
      </c>
      <c r="Y10" t="s">
        <v>63</v>
      </c>
      <c r="Z10" t="s">
        <v>64</v>
      </c>
      <c r="AA10">
        <v>40104</v>
      </c>
      <c r="AB10" t="s">
        <v>841</v>
      </c>
      <c r="AC10" t="str">
        <f t="shared" si="0"/>
        <v>GridLossWarningClear</v>
      </c>
    </row>
    <row r="11" spans="1:30" ht="40.5" customHeight="1" x14ac:dyDescent="0.25">
      <c r="A11" t="s">
        <v>65</v>
      </c>
      <c r="B11" t="s">
        <v>66</v>
      </c>
      <c r="C11" s="1" t="s">
        <v>67</v>
      </c>
      <c r="D11" t="s">
        <v>28</v>
      </c>
      <c r="E11" t="s">
        <v>68</v>
      </c>
      <c r="F11" t="s">
        <v>30</v>
      </c>
      <c r="G11" t="s">
        <v>31</v>
      </c>
      <c r="H11" t="s">
        <v>69</v>
      </c>
      <c r="O11" t="s">
        <v>70</v>
      </c>
      <c r="P11" t="s">
        <v>70</v>
      </c>
      <c r="Q11" t="s">
        <v>49</v>
      </c>
      <c r="Y11" t="s">
        <v>71</v>
      </c>
      <c r="Z11" t="s">
        <v>72</v>
      </c>
      <c r="AA11">
        <v>40104</v>
      </c>
      <c r="AB11" t="s">
        <v>841</v>
      </c>
      <c r="AC11" t="str">
        <f t="shared" si="0"/>
        <v>PowerStatus</v>
      </c>
    </row>
    <row r="12" spans="1:30" ht="40.5" customHeight="1" x14ac:dyDescent="0.25">
      <c r="A12" t="s">
        <v>73</v>
      </c>
      <c r="B12" t="s">
        <v>74</v>
      </c>
      <c r="C12" s="1" t="s">
        <v>75</v>
      </c>
      <c r="D12" t="s">
        <v>76</v>
      </c>
      <c r="E12" t="s">
        <v>77</v>
      </c>
      <c r="F12" t="s">
        <v>30</v>
      </c>
      <c r="G12" t="s">
        <v>31</v>
      </c>
      <c r="H12" t="s">
        <v>78</v>
      </c>
      <c r="AA12">
        <v>40104</v>
      </c>
      <c r="AB12" t="s">
        <v>841</v>
      </c>
    </row>
    <row r="13" spans="1:30" ht="40.5" customHeight="1" x14ac:dyDescent="0.25">
      <c r="A13" t="s">
        <v>79</v>
      </c>
      <c r="B13" t="s">
        <v>80</v>
      </c>
      <c r="C13" s="1" t="s">
        <v>81</v>
      </c>
      <c r="D13" t="s">
        <v>76</v>
      </c>
      <c r="E13" t="s">
        <v>77</v>
      </c>
      <c r="F13" t="s">
        <v>30</v>
      </c>
      <c r="G13" t="s">
        <v>31</v>
      </c>
      <c r="H13" t="s">
        <v>82</v>
      </c>
      <c r="O13" t="s">
        <v>70</v>
      </c>
      <c r="P13" t="s">
        <v>83</v>
      </c>
      <c r="Q13" t="s">
        <v>49</v>
      </c>
      <c r="Y13" t="s">
        <v>84</v>
      </c>
      <c r="Z13" t="s">
        <v>85</v>
      </c>
      <c r="AA13">
        <v>40104</v>
      </c>
      <c r="AB13" t="s">
        <v>841</v>
      </c>
      <c r="AC13" t="str">
        <f t="shared" si="0"/>
        <v>PowerControl</v>
      </c>
    </row>
    <row r="14" spans="1:30" ht="40.5" customHeight="1" x14ac:dyDescent="0.25">
      <c r="A14" t="s">
        <v>86</v>
      </c>
      <c r="B14" t="s">
        <v>87</v>
      </c>
      <c r="C14" s="1" t="s">
        <v>88</v>
      </c>
      <c r="D14" t="s">
        <v>28</v>
      </c>
      <c r="E14" t="s">
        <v>68</v>
      </c>
      <c r="F14" t="s">
        <v>30</v>
      </c>
      <c r="G14" t="s">
        <v>89</v>
      </c>
      <c r="H14" t="s">
        <v>90</v>
      </c>
      <c r="M14" s="1" t="s">
        <v>91</v>
      </c>
      <c r="N14" s="1" t="s">
        <v>92</v>
      </c>
      <c r="O14" t="s">
        <v>48</v>
      </c>
      <c r="P14" t="s">
        <v>48</v>
      </c>
      <c r="Q14" t="s">
        <v>49</v>
      </c>
      <c r="Y14" t="s">
        <v>63</v>
      </c>
      <c r="Z14" t="s">
        <v>93</v>
      </c>
      <c r="AA14">
        <v>40104</v>
      </c>
      <c r="AB14" t="s">
        <v>841</v>
      </c>
      <c r="AC14" t="str">
        <f t="shared" si="0"/>
        <v>LimitActivePowerStatus</v>
      </c>
    </row>
    <row r="15" spans="1:30" ht="40.5" customHeight="1" x14ac:dyDescent="0.25">
      <c r="A15" t="s">
        <v>94</v>
      </c>
      <c r="B15" t="s">
        <v>95</v>
      </c>
      <c r="C15" s="1" t="s">
        <v>96</v>
      </c>
      <c r="D15" t="s">
        <v>28</v>
      </c>
      <c r="E15" t="s">
        <v>68</v>
      </c>
      <c r="F15" t="s">
        <v>30</v>
      </c>
      <c r="G15" t="s">
        <v>89</v>
      </c>
      <c r="H15" t="s">
        <v>97</v>
      </c>
      <c r="O15" t="s">
        <v>98</v>
      </c>
      <c r="P15" t="s">
        <v>95</v>
      </c>
      <c r="Q15" t="s">
        <v>38</v>
      </c>
      <c r="T15" t="s">
        <v>830</v>
      </c>
      <c r="U15">
        <v>0</v>
      </c>
      <c r="V15">
        <v>100</v>
      </c>
      <c r="AA15">
        <v>40104</v>
      </c>
      <c r="AB15" t="s">
        <v>841</v>
      </c>
      <c r="AC15" t="str">
        <f t="shared" si="0"/>
        <v>ActivePowerPercent</v>
      </c>
    </row>
    <row r="16" spans="1:30" ht="40.5" customHeight="1" x14ac:dyDescent="0.25">
      <c r="A16" t="s">
        <v>99</v>
      </c>
      <c r="B16" t="s">
        <v>100</v>
      </c>
      <c r="C16" s="1" t="s">
        <v>101</v>
      </c>
      <c r="D16" t="s">
        <v>28</v>
      </c>
      <c r="E16" t="s">
        <v>29</v>
      </c>
      <c r="F16" t="s">
        <v>30</v>
      </c>
      <c r="G16" t="s">
        <v>102</v>
      </c>
      <c r="H16" t="s">
        <v>103</v>
      </c>
      <c r="K16" s="1" t="s">
        <v>104</v>
      </c>
      <c r="L16" s="1" t="s">
        <v>105</v>
      </c>
      <c r="M16" s="1" t="s">
        <v>106</v>
      </c>
      <c r="N16" s="1" t="s">
        <v>107</v>
      </c>
      <c r="O16" t="s">
        <v>48</v>
      </c>
      <c r="P16" t="s">
        <v>108</v>
      </c>
      <c r="Q16" t="s">
        <v>49</v>
      </c>
      <c r="Y16" t="s">
        <v>63</v>
      </c>
      <c r="Z16" t="s">
        <v>109</v>
      </c>
      <c r="AA16">
        <v>40104</v>
      </c>
      <c r="AB16" t="s">
        <v>841</v>
      </c>
      <c r="AC16" t="str">
        <f t="shared" si="0"/>
        <v>FeedInGridStatus</v>
      </c>
    </row>
    <row r="17" spans="1:29" ht="40.5" customHeight="1" x14ac:dyDescent="0.25">
      <c r="A17" t="s">
        <v>110</v>
      </c>
      <c r="B17" t="s">
        <v>111</v>
      </c>
      <c r="C17" s="1" t="s">
        <v>112</v>
      </c>
      <c r="D17" t="s">
        <v>28</v>
      </c>
      <c r="E17" t="s">
        <v>29</v>
      </c>
      <c r="F17" t="s">
        <v>30</v>
      </c>
      <c r="G17" t="s">
        <v>102</v>
      </c>
      <c r="H17" t="s">
        <v>113</v>
      </c>
      <c r="O17" t="s">
        <v>98</v>
      </c>
      <c r="P17" t="s">
        <v>98</v>
      </c>
      <c r="Q17" t="s">
        <v>38</v>
      </c>
      <c r="T17" t="s">
        <v>831</v>
      </c>
      <c r="U17">
        <v>0</v>
      </c>
      <c r="V17">
        <v>100</v>
      </c>
      <c r="AA17">
        <v>40104</v>
      </c>
      <c r="AB17" t="s">
        <v>841</v>
      </c>
      <c r="AC17" t="str">
        <f t="shared" si="0"/>
        <v>FeedInGridMaxPower</v>
      </c>
    </row>
    <row r="18" spans="1:29" ht="40.5" customHeight="1" x14ac:dyDescent="0.25">
      <c r="A18" t="s">
        <v>115</v>
      </c>
      <c r="B18" t="s">
        <v>116</v>
      </c>
      <c r="C18" s="1" t="s">
        <v>117</v>
      </c>
      <c r="D18" t="s">
        <v>28</v>
      </c>
      <c r="E18" t="s">
        <v>29</v>
      </c>
      <c r="F18" t="s">
        <v>30</v>
      </c>
      <c r="G18" t="s">
        <v>102</v>
      </c>
      <c r="H18" t="s">
        <v>118</v>
      </c>
      <c r="O18" t="s">
        <v>48</v>
      </c>
      <c r="P18" t="s">
        <v>119</v>
      </c>
      <c r="Q18" t="s">
        <v>49</v>
      </c>
      <c r="Y18" t="s">
        <v>63</v>
      </c>
      <c r="Z18" t="s">
        <v>120</v>
      </c>
      <c r="AA18">
        <v>40104</v>
      </c>
      <c r="AB18" t="s">
        <v>841</v>
      </c>
      <c r="AC18" t="str">
        <f t="shared" si="0"/>
        <v>FastZeroExportStatus</v>
      </c>
    </row>
    <row r="19" spans="1:29" ht="40.5" customHeight="1" x14ac:dyDescent="0.25">
      <c r="A19" t="s">
        <v>121</v>
      </c>
      <c r="B19" t="s">
        <v>122</v>
      </c>
      <c r="C19" s="1" t="s">
        <v>123</v>
      </c>
      <c r="D19" t="s">
        <v>28</v>
      </c>
      <c r="E19" t="s">
        <v>29</v>
      </c>
      <c r="F19" t="s">
        <v>30</v>
      </c>
      <c r="G19" t="s">
        <v>124</v>
      </c>
      <c r="H19" t="s">
        <v>125</v>
      </c>
      <c r="O19" t="s">
        <v>126</v>
      </c>
      <c r="P19" t="s">
        <v>126</v>
      </c>
      <c r="Q19" t="s">
        <v>38</v>
      </c>
      <c r="T19" t="s">
        <v>830</v>
      </c>
      <c r="U19">
        <v>0</v>
      </c>
      <c r="V19">
        <v>90</v>
      </c>
      <c r="AA19">
        <v>40104</v>
      </c>
      <c r="AB19" t="s">
        <v>841</v>
      </c>
      <c r="AC19" t="str">
        <f t="shared" si="0"/>
        <v>ACChgStopSOC</v>
      </c>
    </row>
    <row r="20" spans="1:29" ht="40.5" customHeight="1" x14ac:dyDescent="0.25">
      <c r="A20" t="s">
        <v>127</v>
      </c>
      <c r="B20" t="s">
        <v>128</v>
      </c>
      <c r="C20" s="1" t="s">
        <v>129</v>
      </c>
      <c r="D20" t="s">
        <v>28</v>
      </c>
      <c r="E20" t="s">
        <v>29</v>
      </c>
      <c r="F20" t="s">
        <v>30</v>
      </c>
      <c r="G20" t="s">
        <v>130</v>
      </c>
      <c r="H20" t="s">
        <v>131</v>
      </c>
      <c r="K20" s="1" t="s">
        <v>132</v>
      </c>
      <c r="L20" s="1" t="s">
        <v>133</v>
      </c>
      <c r="M20" s="1" t="s">
        <v>134</v>
      </c>
      <c r="N20" s="1" t="s">
        <v>135</v>
      </c>
      <c r="O20" t="s">
        <v>136</v>
      </c>
      <c r="P20" t="s">
        <v>137</v>
      </c>
      <c r="Q20" t="s">
        <v>38</v>
      </c>
      <c r="U20">
        <v>1</v>
      </c>
      <c r="V20">
        <v>255</v>
      </c>
      <c r="AA20">
        <v>40104</v>
      </c>
      <c r="AB20" t="s">
        <v>841</v>
      </c>
      <c r="AC20" t="str">
        <f t="shared" si="0"/>
        <v>ModbusAddr</v>
      </c>
    </row>
    <row r="21" spans="1:29" ht="40.5" customHeight="1" x14ac:dyDescent="0.25">
      <c r="A21" t="s">
        <v>138</v>
      </c>
      <c r="B21" t="s">
        <v>139</v>
      </c>
      <c r="C21" s="1" t="s">
        <v>140</v>
      </c>
      <c r="D21" t="s">
        <v>28</v>
      </c>
      <c r="E21" t="s">
        <v>29</v>
      </c>
      <c r="F21" t="s">
        <v>30</v>
      </c>
      <c r="G21" t="s">
        <v>130</v>
      </c>
      <c r="H21" t="s">
        <v>141</v>
      </c>
      <c r="O21" t="s">
        <v>142</v>
      </c>
      <c r="P21" t="s">
        <v>143</v>
      </c>
      <c r="Q21" t="s">
        <v>49</v>
      </c>
      <c r="Y21" t="s">
        <v>144</v>
      </c>
      <c r="Z21" t="s">
        <v>145</v>
      </c>
      <c r="AA21">
        <v>40104</v>
      </c>
      <c r="AB21" t="s">
        <v>841</v>
      </c>
      <c r="AC21" t="str">
        <f t="shared" si="0"/>
        <v>SystemType</v>
      </c>
    </row>
    <row r="22" spans="1:29" ht="40.5" customHeight="1" x14ac:dyDescent="0.25">
      <c r="A22" t="s">
        <v>146</v>
      </c>
      <c r="B22" t="s">
        <v>147</v>
      </c>
      <c r="C22" s="1" t="s">
        <v>148</v>
      </c>
      <c r="D22" t="s">
        <v>28</v>
      </c>
      <c r="E22" t="s">
        <v>29</v>
      </c>
      <c r="F22" t="s">
        <v>30</v>
      </c>
      <c r="G22" t="s">
        <v>130</v>
      </c>
      <c r="H22" t="s">
        <v>149</v>
      </c>
      <c r="O22" t="s">
        <v>150</v>
      </c>
      <c r="P22" t="s">
        <v>150</v>
      </c>
      <c r="Q22" t="s">
        <v>49</v>
      </c>
      <c r="Y22" t="s">
        <v>151</v>
      </c>
      <c r="Z22" t="s">
        <v>151</v>
      </c>
      <c r="AA22">
        <v>40104</v>
      </c>
      <c r="AB22" t="s">
        <v>841</v>
      </c>
      <c r="AC22" t="str">
        <f t="shared" si="0"/>
        <v>ComposedPhase</v>
      </c>
    </row>
    <row r="23" spans="1:29" ht="40.5" customHeight="1" x14ac:dyDescent="0.25">
      <c r="A23" t="s">
        <v>152</v>
      </c>
      <c r="B23" t="s">
        <v>153</v>
      </c>
      <c r="C23" s="1" t="s">
        <v>154</v>
      </c>
      <c r="D23" t="s">
        <v>28</v>
      </c>
      <c r="E23" t="s">
        <v>155</v>
      </c>
      <c r="F23" t="s">
        <v>30</v>
      </c>
      <c r="G23" t="s">
        <v>130</v>
      </c>
      <c r="H23" t="s">
        <v>156</v>
      </c>
      <c r="O23" t="s">
        <v>150</v>
      </c>
      <c r="P23" t="s">
        <v>150</v>
      </c>
      <c r="Q23" t="s">
        <v>49</v>
      </c>
      <c r="Y23" t="s">
        <v>157</v>
      </c>
      <c r="Z23" t="s">
        <v>157</v>
      </c>
      <c r="AA23">
        <v>40104</v>
      </c>
      <c r="AB23" t="s">
        <v>841</v>
      </c>
      <c r="AC23" t="str">
        <f t="shared" si="0"/>
        <v>ClearDetectedPhases</v>
      </c>
    </row>
    <row r="24" spans="1:29" ht="40.5" customHeight="1" x14ac:dyDescent="0.25">
      <c r="A24" t="s">
        <v>158</v>
      </c>
      <c r="B24" t="s">
        <v>159</v>
      </c>
      <c r="C24" s="1" t="s">
        <v>160</v>
      </c>
      <c r="D24" t="s">
        <v>28</v>
      </c>
      <c r="E24" t="s">
        <v>68</v>
      </c>
      <c r="F24" t="s">
        <v>30</v>
      </c>
      <c r="G24" t="s">
        <v>130</v>
      </c>
      <c r="H24" t="s">
        <v>161</v>
      </c>
      <c r="O24" t="s">
        <v>150</v>
      </c>
      <c r="P24" t="s">
        <v>150</v>
      </c>
      <c r="Q24" t="s">
        <v>49</v>
      </c>
      <c r="Y24" t="s">
        <v>162</v>
      </c>
      <c r="Z24" t="s">
        <v>162</v>
      </c>
      <c r="AA24">
        <v>40104</v>
      </c>
      <c r="AB24" t="s">
        <v>841</v>
      </c>
      <c r="AC24" t="str">
        <f t="shared" si="0"/>
        <v>DetectedGridPhases</v>
      </c>
    </row>
    <row r="25" spans="1:29" ht="40.5" customHeight="1" x14ac:dyDescent="0.25">
      <c r="A25" t="s">
        <v>163</v>
      </c>
      <c r="B25" t="s">
        <v>164</v>
      </c>
      <c r="C25" s="1" t="s">
        <v>165</v>
      </c>
      <c r="D25" t="s">
        <v>28</v>
      </c>
      <c r="E25" t="s">
        <v>29</v>
      </c>
      <c r="F25" t="s">
        <v>30</v>
      </c>
      <c r="G25" t="s">
        <v>130</v>
      </c>
      <c r="H25" t="s">
        <v>166</v>
      </c>
      <c r="O25" t="s">
        <v>48</v>
      </c>
      <c r="P25" t="s">
        <v>167</v>
      </c>
      <c r="Q25" t="s">
        <v>49</v>
      </c>
      <c r="Y25" t="s">
        <v>63</v>
      </c>
      <c r="Z25" t="s">
        <v>168</v>
      </c>
      <c r="AA25">
        <v>40104</v>
      </c>
      <c r="AB25" t="s">
        <v>841</v>
      </c>
      <c r="AC25" t="str">
        <f t="shared" si="0"/>
        <v>ShareBatteryStatus</v>
      </c>
    </row>
    <row r="26" spans="1:29" ht="40.5" customHeight="1" x14ac:dyDescent="0.25">
      <c r="A26" t="s">
        <v>169</v>
      </c>
      <c r="B26" t="s">
        <v>170</v>
      </c>
      <c r="C26" s="1" t="s">
        <v>171</v>
      </c>
      <c r="D26" t="s">
        <v>28</v>
      </c>
      <c r="E26" t="s">
        <v>68</v>
      </c>
      <c r="F26" t="s">
        <v>30</v>
      </c>
      <c r="G26" t="s">
        <v>130</v>
      </c>
      <c r="H26" t="s">
        <v>172</v>
      </c>
      <c r="O26" t="s">
        <v>173</v>
      </c>
      <c r="P26" t="s">
        <v>173</v>
      </c>
      <c r="Q26" t="s">
        <v>38</v>
      </c>
      <c r="AA26">
        <v>40104</v>
      </c>
      <c r="AB26" t="s">
        <v>841</v>
      </c>
      <c r="AC26" t="str">
        <f t="shared" si="0"/>
        <v>ParallelNum</v>
      </c>
    </row>
    <row r="27" spans="1:29" ht="40.5" customHeight="1" x14ac:dyDescent="0.25">
      <c r="A27" t="s">
        <v>174</v>
      </c>
      <c r="B27" t="s">
        <v>175</v>
      </c>
      <c r="C27" s="1" t="s">
        <v>176</v>
      </c>
      <c r="D27" t="s">
        <v>28</v>
      </c>
      <c r="E27" t="s">
        <v>68</v>
      </c>
      <c r="F27" t="s">
        <v>30</v>
      </c>
      <c r="G27" t="s">
        <v>130</v>
      </c>
      <c r="H27" t="s">
        <v>177</v>
      </c>
      <c r="O27" t="s">
        <v>177</v>
      </c>
      <c r="P27" t="s">
        <v>177</v>
      </c>
      <c r="Q27" t="s">
        <v>49</v>
      </c>
      <c r="Y27" t="s">
        <v>178</v>
      </c>
      <c r="Z27" t="s">
        <v>179</v>
      </c>
      <c r="AA27">
        <v>40104</v>
      </c>
      <c r="AB27" t="s">
        <v>841</v>
      </c>
      <c r="AC27" t="str">
        <f t="shared" si="0"/>
        <v>Role</v>
      </c>
    </row>
    <row r="28" spans="1:29" ht="40.5" customHeight="1" x14ac:dyDescent="0.25">
      <c r="A28" t="s">
        <v>180</v>
      </c>
      <c r="B28" t="s">
        <v>181</v>
      </c>
      <c r="C28" s="1" t="s">
        <v>182</v>
      </c>
      <c r="D28" t="s">
        <v>28</v>
      </c>
      <c r="E28" t="s">
        <v>68</v>
      </c>
      <c r="F28" t="s">
        <v>30</v>
      </c>
      <c r="G28" t="s">
        <v>130</v>
      </c>
      <c r="H28" t="s">
        <v>183</v>
      </c>
      <c r="O28" t="s">
        <v>150</v>
      </c>
      <c r="P28" t="s">
        <v>150</v>
      </c>
      <c r="Q28" t="s">
        <v>49</v>
      </c>
      <c r="Y28" t="s">
        <v>151</v>
      </c>
      <c r="Z28" t="s">
        <v>151</v>
      </c>
      <c r="AA28">
        <v>40104</v>
      </c>
      <c r="AB28" t="s">
        <v>841</v>
      </c>
      <c r="AC28" t="str">
        <f t="shared" si="0"/>
        <v>ParallelPhase</v>
      </c>
    </row>
    <row r="29" spans="1:29" ht="40.5" customHeight="1" x14ac:dyDescent="0.25">
      <c r="A29" t="s">
        <v>184</v>
      </c>
      <c r="B29" t="s">
        <v>185</v>
      </c>
      <c r="C29" s="1" t="s">
        <v>186</v>
      </c>
      <c r="D29" t="s">
        <v>28</v>
      </c>
      <c r="E29" t="s">
        <v>29</v>
      </c>
      <c r="F29" t="s">
        <v>30</v>
      </c>
      <c r="G29" t="s">
        <v>187</v>
      </c>
      <c r="H29" t="s">
        <v>188</v>
      </c>
      <c r="K29" s="1" t="s">
        <v>189</v>
      </c>
      <c r="L29" s="1" t="s">
        <v>190</v>
      </c>
      <c r="M29" s="1" t="s">
        <v>191</v>
      </c>
      <c r="N29" s="1" t="s">
        <v>192</v>
      </c>
      <c r="O29" t="s">
        <v>193</v>
      </c>
      <c r="P29" t="s">
        <v>185</v>
      </c>
      <c r="Q29" t="s">
        <v>49</v>
      </c>
      <c r="Y29" t="s">
        <v>194</v>
      </c>
      <c r="Z29" t="s">
        <v>194</v>
      </c>
      <c r="AA29">
        <v>40104</v>
      </c>
      <c r="AB29" t="s">
        <v>841</v>
      </c>
      <c r="AC29" t="str">
        <f t="shared" si="0"/>
        <v>CTSampleRatio</v>
      </c>
    </row>
    <row r="30" spans="1:29" ht="40.5" customHeight="1" x14ac:dyDescent="0.25">
      <c r="A30" t="s">
        <v>195</v>
      </c>
      <c r="B30" t="s">
        <v>196</v>
      </c>
      <c r="C30" s="1" t="s">
        <v>197</v>
      </c>
      <c r="D30" t="s">
        <v>28</v>
      </c>
      <c r="E30" t="s">
        <v>29</v>
      </c>
      <c r="F30" t="s">
        <v>30</v>
      </c>
      <c r="G30" t="s">
        <v>187</v>
      </c>
      <c r="H30" t="s">
        <v>198</v>
      </c>
      <c r="O30" t="s">
        <v>193</v>
      </c>
      <c r="P30" t="s">
        <v>193</v>
      </c>
      <c r="Q30" t="s">
        <v>49</v>
      </c>
      <c r="Y30" t="s">
        <v>199</v>
      </c>
      <c r="Z30" t="s">
        <v>199</v>
      </c>
      <c r="AA30">
        <v>40104</v>
      </c>
      <c r="AB30" t="s">
        <v>841</v>
      </c>
      <c r="AC30" t="str">
        <f t="shared" si="0"/>
        <v>CTDirection</v>
      </c>
    </row>
    <row r="31" spans="1:29" ht="40.5" customHeight="1" x14ac:dyDescent="0.25">
      <c r="A31" t="s">
        <v>200</v>
      </c>
      <c r="B31" t="s">
        <v>201</v>
      </c>
      <c r="C31" s="1" t="s">
        <v>202</v>
      </c>
      <c r="D31" t="s">
        <v>28</v>
      </c>
      <c r="E31" t="s">
        <v>29</v>
      </c>
      <c r="F31" t="s">
        <v>30</v>
      </c>
      <c r="G31" t="s">
        <v>203</v>
      </c>
      <c r="H31" t="s">
        <v>204</v>
      </c>
      <c r="K31" s="1" t="s">
        <v>205</v>
      </c>
      <c r="L31" s="1" t="s">
        <v>206</v>
      </c>
      <c r="M31" s="1" t="s">
        <v>207</v>
      </c>
      <c r="N31" s="1" t="s">
        <v>208</v>
      </c>
      <c r="O31" t="s">
        <v>142</v>
      </c>
      <c r="P31" t="s">
        <v>142</v>
      </c>
      <c r="Q31" t="s">
        <v>49</v>
      </c>
      <c r="Y31" t="s">
        <v>209</v>
      </c>
      <c r="Z31" t="s">
        <v>210</v>
      </c>
      <c r="AA31">
        <v>40104</v>
      </c>
      <c r="AB31" t="s">
        <v>841</v>
      </c>
      <c r="AC31" t="str">
        <f t="shared" si="0"/>
        <v>BatteryType</v>
      </c>
    </row>
    <row r="32" spans="1:29" ht="40.5" customHeight="1" x14ac:dyDescent="0.25">
      <c r="A32" t="s">
        <v>211</v>
      </c>
      <c r="B32" t="s">
        <v>212</v>
      </c>
      <c r="C32" s="1" t="s">
        <v>213</v>
      </c>
      <c r="D32" t="s">
        <v>28</v>
      </c>
      <c r="E32" t="s">
        <v>29</v>
      </c>
      <c r="F32" t="s">
        <v>30</v>
      </c>
      <c r="G32" t="s">
        <v>203</v>
      </c>
      <c r="H32" t="s">
        <v>214</v>
      </c>
      <c r="O32" t="s">
        <v>215</v>
      </c>
      <c r="P32" t="s">
        <v>215</v>
      </c>
      <c r="Q32" t="s">
        <v>49</v>
      </c>
      <c r="Y32" t="s">
        <v>216</v>
      </c>
      <c r="Z32" t="s">
        <v>216</v>
      </c>
      <c r="AA32">
        <v>40104</v>
      </c>
      <c r="AB32" t="s">
        <v>841</v>
      </c>
      <c r="AC32" t="str">
        <f t="shared" si="0"/>
        <v>BatteryBrand</v>
      </c>
    </row>
    <row r="33" spans="1:30" ht="40.5" customHeight="1" x14ac:dyDescent="0.25">
      <c r="A33" t="s">
        <v>217</v>
      </c>
      <c r="B33" t="s">
        <v>218</v>
      </c>
      <c r="C33" s="1" t="s">
        <v>219</v>
      </c>
      <c r="D33" t="s">
        <v>28</v>
      </c>
      <c r="E33" t="s">
        <v>29</v>
      </c>
      <c r="F33" t="s">
        <v>30</v>
      </c>
      <c r="G33" t="s">
        <v>203</v>
      </c>
      <c r="H33" t="s">
        <v>220</v>
      </c>
      <c r="O33" t="s">
        <v>221</v>
      </c>
      <c r="P33" t="s">
        <v>688</v>
      </c>
      <c r="Q33" t="s">
        <v>38</v>
      </c>
      <c r="T33" t="s">
        <v>832</v>
      </c>
      <c r="AA33">
        <v>40104</v>
      </c>
      <c r="AB33" t="s">
        <v>841</v>
      </c>
      <c r="AC33" t="str">
        <f t="shared" si="0"/>
        <v>AbsorbVoltage</v>
      </c>
    </row>
    <row r="34" spans="1:30" ht="40.5" customHeight="1" x14ac:dyDescent="0.25">
      <c r="A34" t="s">
        <v>222</v>
      </c>
      <c r="B34" t="s">
        <v>223</v>
      </c>
      <c r="C34" s="1" t="s">
        <v>224</v>
      </c>
      <c r="D34" t="s">
        <v>28</v>
      </c>
      <c r="E34" t="s">
        <v>29</v>
      </c>
      <c r="F34" t="s">
        <v>30</v>
      </c>
      <c r="G34" t="s">
        <v>203</v>
      </c>
      <c r="H34" t="s">
        <v>225</v>
      </c>
      <c r="O34" t="s">
        <v>221</v>
      </c>
      <c r="P34" t="s">
        <v>688</v>
      </c>
      <c r="Q34" t="s">
        <v>38</v>
      </c>
      <c r="T34" t="s">
        <v>832</v>
      </c>
      <c r="AA34">
        <v>40104</v>
      </c>
      <c r="AB34" t="s">
        <v>841</v>
      </c>
      <c r="AC34" t="str">
        <f t="shared" si="0"/>
        <v>FloatVoltage</v>
      </c>
    </row>
    <row r="35" spans="1:30" ht="40.5" customHeight="1" x14ac:dyDescent="0.25">
      <c r="A35" t="s">
        <v>226</v>
      </c>
      <c r="B35" t="s">
        <v>227</v>
      </c>
      <c r="C35" s="1" t="s">
        <v>228</v>
      </c>
      <c r="D35" t="s">
        <v>28</v>
      </c>
      <c r="E35" t="s">
        <v>29</v>
      </c>
      <c r="F35" t="s">
        <v>30</v>
      </c>
      <c r="G35" t="s">
        <v>203</v>
      </c>
      <c r="H35" t="s">
        <v>229</v>
      </c>
      <c r="O35" t="s">
        <v>221</v>
      </c>
      <c r="P35" t="s">
        <v>688</v>
      </c>
      <c r="Q35" t="s">
        <v>38</v>
      </c>
      <c r="T35" t="s">
        <v>832</v>
      </c>
      <c r="AA35">
        <v>40104</v>
      </c>
      <c r="AB35" t="s">
        <v>841</v>
      </c>
      <c r="AC35" t="str">
        <f t="shared" si="0"/>
        <v>VbatStartDerating</v>
      </c>
    </row>
    <row r="36" spans="1:30" ht="40.5" customHeight="1" x14ac:dyDescent="0.25">
      <c r="A36" t="s">
        <v>230</v>
      </c>
      <c r="B36" t="s">
        <v>231</v>
      </c>
      <c r="C36" s="1" t="s">
        <v>232</v>
      </c>
      <c r="D36" t="s">
        <v>28</v>
      </c>
      <c r="E36" t="s">
        <v>29</v>
      </c>
      <c r="F36" t="s">
        <v>30</v>
      </c>
      <c r="G36" t="s">
        <v>203</v>
      </c>
      <c r="H36" t="s">
        <v>233</v>
      </c>
      <c r="O36" t="s">
        <v>234</v>
      </c>
      <c r="P36" t="s">
        <v>235</v>
      </c>
      <c r="Q36" t="s">
        <v>49</v>
      </c>
      <c r="Y36" t="s">
        <v>236</v>
      </c>
      <c r="Z36" t="s">
        <v>236</v>
      </c>
      <c r="AA36">
        <v>40104</v>
      </c>
      <c r="AB36" t="s">
        <v>841</v>
      </c>
      <c r="AC36" t="str">
        <f>H36</f>
        <v>ChaDisChaCtrlType</v>
      </c>
    </row>
    <row r="37" spans="1:30" ht="40.5" customHeight="1" x14ac:dyDescent="0.25">
      <c r="O37" t="s">
        <v>237</v>
      </c>
      <c r="P37" t="s">
        <v>238</v>
      </c>
      <c r="Q37" t="s">
        <v>49</v>
      </c>
      <c r="Y37" t="s">
        <v>236</v>
      </c>
      <c r="Z37" t="s">
        <v>236</v>
      </c>
      <c r="AA37">
        <v>40104</v>
      </c>
      <c r="AB37" t="s">
        <v>841</v>
      </c>
      <c r="AC37" t="s">
        <v>233</v>
      </c>
    </row>
    <row r="38" spans="1:30" ht="40.5" customHeight="1" x14ac:dyDescent="0.25">
      <c r="A38" t="s">
        <v>239</v>
      </c>
      <c r="B38" t="s">
        <v>240</v>
      </c>
      <c r="C38" s="1" t="s">
        <v>241</v>
      </c>
      <c r="D38" t="s">
        <v>28</v>
      </c>
      <c r="E38" t="s">
        <v>29</v>
      </c>
      <c r="F38" t="s">
        <v>30</v>
      </c>
      <c r="G38" t="s">
        <v>203</v>
      </c>
      <c r="H38" t="s">
        <v>242</v>
      </c>
      <c r="O38" t="s">
        <v>126</v>
      </c>
      <c r="P38" t="s">
        <v>126</v>
      </c>
      <c r="Q38" t="s">
        <v>38</v>
      </c>
      <c r="T38" t="s">
        <v>830</v>
      </c>
      <c r="U38">
        <v>0</v>
      </c>
      <c r="V38">
        <v>100</v>
      </c>
      <c r="AA38">
        <v>40104</v>
      </c>
      <c r="AB38" t="s">
        <v>841</v>
      </c>
      <c r="AC38" t="str">
        <f t="shared" si="0"/>
        <v>ChargeLimitSoc</v>
      </c>
    </row>
    <row r="39" spans="1:30" ht="40.5" customHeight="1" x14ac:dyDescent="0.25">
      <c r="A39" t="s">
        <v>243</v>
      </c>
      <c r="B39" t="s">
        <v>244</v>
      </c>
      <c r="C39" s="1" t="s">
        <v>245</v>
      </c>
      <c r="D39" t="s">
        <v>28</v>
      </c>
      <c r="E39" t="s">
        <v>29</v>
      </c>
      <c r="F39" t="s">
        <v>30</v>
      </c>
      <c r="G39" t="s">
        <v>203</v>
      </c>
      <c r="H39" t="s">
        <v>246</v>
      </c>
      <c r="O39" t="s">
        <v>247</v>
      </c>
      <c r="P39" t="s">
        <v>248</v>
      </c>
      <c r="Q39" t="s">
        <v>49</v>
      </c>
      <c r="Y39" t="s">
        <v>249</v>
      </c>
      <c r="Z39" t="s">
        <v>249</v>
      </c>
      <c r="AA39">
        <v>40104</v>
      </c>
      <c r="AB39" t="s">
        <v>841</v>
      </c>
      <c r="AC39" t="s">
        <v>247</v>
      </c>
    </row>
    <row r="40" spans="1:30" ht="40.5" customHeight="1" x14ac:dyDescent="0.25">
      <c r="O40" t="s">
        <v>250</v>
      </c>
      <c r="P40" t="s">
        <v>251</v>
      </c>
      <c r="Q40" t="s">
        <v>49</v>
      </c>
      <c r="Y40" t="s">
        <v>249</v>
      </c>
      <c r="Z40" t="s">
        <v>249</v>
      </c>
      <c r="AA40">
        <v>40104</v>
      </c>
      <c r="AB40" t="s">
        <v>841</v>
      </c>
      <c r="AC40" t="s">
        <v>250</v>
      </c>
    </row>
    <row r="41" spans="1:30" ht="40.5" customHeight="1" x14ac:dyDescent="0.25">
      <c r="A41" t="s">
        <v>252</v>
      </c>
      <c r="B41" t="s">
        <v>253</v>
      </c>
      <c r="C41" s="1" t="s">
        <v>254</v>
      </c>
      <c r="D41" t="s">
        <v>28</v>
      </c>
      <c r="E41" t="s">
        <v>29</v>
      </c>
      <c r="F41" t="s">
        <v>30</v>
      </c>
      <c r="G41" t="s">
        <v>203</v>
      </c>
      <c r="H41" t="s">
        <v>255</v>
      </c>
      <c r="O41" t="s">
        <v>126</v>
      </c>
      <c r="P41" t="s">
        <v>126</v>
      </c>
      <c r="Q41" t="s">
        <v>38</v>
      </c>
      <c r="R41" t="s">
        <v>256</v>
      </c>
      <c r="T41" t="s">
        <v>830</v>
      </c>
      <c r="U41">
        <v>0</v>
      </c>
      <c r="V41">
        <v>100</v>
      </c>
      <c r="AA41">
        <v>40104</v>
      </c>
      <c r="AB41" t="s">
        <v>841</v>
      </c>
      <c r="AC41" t="str">
        <f t="shared" si="0"/>
        <v>OnGridCutOffSoc</v>
      </c>
    </row>
    <row r="42" spans="1:30" ht="40.5" customHeight="1" x14ac:dyDescent="0.25">
      <c r="A42" t="s">
        <v>257</v>
      </c>
      <c r="B42" t="s">
        <v>258</v>
      </c>
      <c r="C42" s="1" t="s">
        <v>259</v>
      </c>
      <c r="D42" t="s">
        <v>28</v>
      </c>
      <c r="E42" t="s">
        <v>29</v>
      </c>
      <c r="F42" t="s">
        <v>30</v>
      </c>
      <c r="G42" t="s">
        <v>203</v>
      </c>
      <c r="H42" t="s">
        <v>260</v>
      </c>
      <c r="O42" t="s">
        <v>126</v>
      </c>
      <c r="P42" t="s">
        <v>126</v>
      </c>
      <c r="Q42" t="s">
        <v>38</v>
      </c>
      <c r="R42" t="s">
        <v>261</v>
      </c>
      <c r="T42" t="s">
        <v>830</v>
      </c>
      <c r="U42">
        <v>0</v>
      </c>
      <c r="V42">
        <v>100</v>
      </c>
      <c r="AA42">
        <v>40104</v>
      </c>
      <c r="AB42" t="s">
        <v>841</v>
      </c>
      <c r="AC42" t="str">
        <f t="shared" si="0"/>
        <v>OffGridCutOffSoc</v>
      </c>
    </row>
    <row r="43" spans="1:30" ht="40.5" customHeight="1" x14ac:dyDescent="0.25">
      <c r="A43" t="s">
        <v>262</v>
      </c>
      <c r="B43" t="s">
        <v>263</v>
      </c>
      <c r="C43" s="1" t="s">
        <v>264</v>
      </c>
      <c r="D43" t="s">
        <v>28</v>
      </c>
      <c r="E43" t="s">
        <v>29</v>
      </c>
      <c r="F43" t="s">
        <v>30</v>
      </c>
      <c r="G43" t="s">
        <v>265</v>
      </c>
      <c r="H43" t="s">
        <v>266</v>
      </c>
      <c r="K43" s="1" t="s">
        <v>267</v>
      </c>
      <c r="L43" s="1" t="s">
        <v>268</v>
      </c>
      <c r="M43" s="1" t="s">
        <v>269</v>
      </c>
      <c r="N43" s="1" t="s">
        <v>270</v>
      </c>
      <c r="O43" t="s">
        <v>48</v>
      </c>
      <c r="P43" t="s">
        <v>108</v>
      </c>
      <c r="Q43" t="s">
        <v>49</v>
      </c>
      <c r="Y43" t="s">
        <v>63</v>
      </c>
      <c r="Z43" t="s">
        <v>271</v>
      </c>
      <c r="AA43">
        <v>40104</v>
      </c>
      <c r="AB43" t="s">
        <v>841</v>
      </c>
      <c r="AC43" t="str">
        <f t="shared" si="0"/>
        <v>BatteryBackupMode</v>
      </c>
    </row>
    <row r="44" spans="1:30" ht="40.5" customHeight="1" x14ac:dyDescent="0.25">
      <c r="A44" t="s">
        <v>272</v>
      </c>
      <c r="B44" t="s">
        <v>273</v>
      </c>
      <c r="C44" s="1" t="s">
        <v>274</v>
      </c>
      <c r="D44" t="s">
        <v>28</v>
      </c>
      <c r="E44" t="s">
        <v>29</v>
      </c>
      <c r="F44" t="s">
        <v>30</v>
      </c>
      <c r="G44" t="s">
        <v>265</v>
      </c>
      <c r="H44" t="s">
        <v>275</v>
      </c>
      <c r="O44" t="s">
        <v>126</v>
      </c>
      <c r="P44" t="s">
        <v>126</v>
      </c>
      <c r="Q44" t="s">
        <v>38</v>
      </c>
      <c r="T44" t="s">
        <v>830</v>
      </c>
      <c r="U44">
        <v>0</v>
      </c>
      <c r="V44">
        <v>100</v>
      </c>
      <c r="AA44">
        <v>40104</v>
      </c>
      <c r="AB44" t="s">
        <v>841</v>
      </c>
      <c r="AC44" t="str">
        <f t="shared" si="0"/>
        <v>BatteryReserveSOC</v>
      </c>
    </row>
    <row r="45" spans="1:30" ht="40.5" customHeight="1" x14ac:dyDescent="0.25">
      <c r="A45" t="s">
        <v>276</v>
      </c>
      <c r="B45" t="s">
        <v>277</v>
      </c>
      <c r="C45" s="1" t="s">
        <v>278</v>
      </c>
      <c r="D45" t="s">
        <v>28</v>
      </c>
      <c r="E45" t="s">
        <v>29</v>
      </c>
      <c r="F45" t="s">
        <v>30</v>
      </c>
      <c r="G45" t="s">
        <v>279</v>
      </c>
      <c r="H45" t="s">
        <v>279</v>
      </c>
      <c r="K45" s="1" t="s">
        <v>280</v>
      </c>
      <c r="L45" s="1" t="s">
        <v>281</v>
      </c>
      <c r="M45" s="1" t="s">
        <v>282</v>
      </c>
      <c r="N45" s="1" t="s">
        <v>283</v>
      </c>
      <c r="O45" t="s">
        <v>48</v>
      </c>
      <c r="P45" t="s">
        <v>284</v>
      </c>
      <c r="Q45" t="s">
        <v>49</v>
      </c>
      <c r="Y45" t="s">
        <v>63</v>
      </c>
      <c r="Z45" t="s">
        <v>285</v>
      </c>
      <c r="AA45">
        <v>40104</v>
      </c>
      <c r="AB45" t="s">
        <v>841</v>
      </c>
      <c r="AC45" t="str">
        <f t="shared" si="0"/>
        <v>BatteryScheduling</v>
      </c>
    </row>
    <row r="46" spans="1:30" ht="40.5" customHeight="1" x14ac:dyDescent="0.25">
      <c r="A46" t="s">
        <v>286</v>
      </c>
      <c r="B46" t="s">
        <v>287</v>
      </c>
      <c r="C46" s="1" t="s">
        <v>288</v>
      </c>
      <c r="D46" t="s">
        <v>28</v>
      </c>
      <c r="E46" t="s">
        <v>29</v>
      </c>
      <c r="F46" t="s">
        <v>30</v>
      </c>
      <c r="G46" t="s">
        <v>289</v>
      </c>
      <c r="H46" t="s">
        <v>290</v>
      </c>
      <c r="K46" s="1" t="s">
        <v>291</v>
      </c>
      <c r="L46" s="1" t="s">
        <v>292</v>
      </c>
      <c r="M46" s="1" t="s">
        <v>293</v>
      </c>
      <c r="N46" s="1" t="s">
        <v>294</v>
      </c>
      <c r="O46" t="s">
        <v>98</v>
      </c>
      <c r="P46" t="s">
        <v>114</v>
      </c>
      <c r="Q46" t="s">
        <v>38</v>
      </c>
      <c r="R46" t="s">
        <v>295</v>
      </c>
      <c r="T46" t="s">
        <v>831</v>
      </c>
      <c r="U46">
        <v>0</v>
      </c>
      <c r="V46">
        <v>100</v>
      </c>
      <c r="AA46">
        <v>40104</v>
      </c>
      <c r="AB46" t="s">
        <v>841</v>
      </c>
      <c r="AC46" t="s">
        <v>845</v>
      </c>
    </row>
    <row r="47" spans="1:30" ht="40.5" customHeight="1" x14ac:dyDescent="0.25">
      <c r="A47" t="s">
        <v>296</v>
      </c>
      <c r="B47" t="s">
        <v>297</v>
      </c>
      <c r="C47" s="1" t="s">
        <v>298</v>
      </c>
      <c r="D47" t="s">
        <v>28</v>
      </c>
      <c r="E47" t="s">
        <v>29</v>
      </c>
      <c r="F47" t="s">
        <v>30</v>
      </c>
      <c r="G47" t="s">
        <v>289</v>
      </c>
      <c r="H47" t="s">
        <v>299</v>
      </c>
      <c r="O47" t="s">
        <v>300</v>
      </c>
      <c r="P47" t="s">
        <v>301</v>
      </c>
      <c r="Q47" t="s">
        <v>38</v>
      </c>
      <c r="U47">
        <v>0</v>
      </c>
      <c r="V47">
        <v>23</v>
      </c>
      <c r="AA47">
        <v>40104</v>
      </c>
      <c r="AB47" t="s">
        <v>841</v>
      </c>
      <c r="AC47" t="s">
        <v>846</v>
      </c>
      <c r="AD47" t="s">
        <v>41</v>
      </c>
    </row>
    <row r="48" spans="1:30" ht="40.5" customHeight="1" x14ac:dyDescent="0.25">
      <c r="O48" t="s">
        <v>302</v>
      </c>
      <c r="P48" t="s">
        <v>303</v>
      </c>
      <c r="Q48" t="s">
        <v>38</v>
      </c>
      <c r="U48">
        <v>0</v>
      </c>
      <c r="V48">
        <v>59</v>
      </c>
      <c r="AA48">
        <v>40104</v>
      </c>
      <c r="AB48" t="s">
        <v>841</v>
      </c>
      <c r="AC48" t="s">
        <v>846</v>
      </c>
      <c r="AD48" t="s">
        <v>843</v>
      </c>
    </row>
    <row r="49" spans="1:30" ht="40.5" customHeight="1" x14ac:dyDescent="0.25">
      <c r="O49" t="s">
        <v>304</v>
      </c>
      <c r="P49" t="s">
        <v>305</v>
      </c>
      <c r="Q49" t="s">
        <v>38</v>
      </c>
      <c r="U49">
        <v>0</v>
      </c>
      <c r="V49">
        <v>23</v>
      </c>
      <c r="AA49">
        <v>40104</v>
      </c>
      <c r="AB49" t="s">
        <v>841</v>
      </c>
      <c r="AC49" t="s">
        <v>849</v>
      </c>
      <c r="AD49" t="s">
        <v>41</v>
      </c>
    </row>
    <row r="50" spans="1:30" ht="40.5" customHeight="1" x14ac:dyDescent="0.25">
      <c r="O50" t="s">
        <v>306</v>
      </c>
      <c r="P50" t="s">
        <v>307</v>
      </c>
      <c r="Q50" t="s">
        <v>38</v>
      </c>
      <c r="U50">
        <v>0</v>
      </c>
      <c r="V50">
        <v>59</v>
      </c>
      <c r="AA50">
        <v>40104</v>
      </c>
      <c r="AB50" t="s">
        <v>841</v>
      </c>
      <c r="AC50" t="s">
        <v>849</v>
      </c>
      <c r="AD50" t="s">
        <v>843</v>
      </c>
    </row>
    <row r="51" spans="1:30" ht="40.5" customHeight="1" x14ac:dyDescent="0.25">
      <c r="A51" t="s">
        <v>308</v>
      </c>
      <c r="B51" t="s">
        <v>309</v>
      </c>
      <c r="C51" s="1" t="s">
        <v>298</v>
      </c>
      <c r="D51" t="s">
        <v>28</v>
      </c>
      <c r="E51" t="s">
        <v>29</v>
      </c>
      <c r="F51" t="s">
        <v>30</v>
      </c>
      <c r="G51" t="s">
        <v>289</v>
      </c>
      <c r="H51" t="s">
        <v>310</v>
      </c>
      <c r="O51" t="s">
        <v>300</v>
      </c>
      <c r="P51" t="s">
        <v>301</v>
      </c>
      <c r="Q51" t="s">
        <v>38</v>
      </c>
      <c r="U51">
        <v>0</v>
      </c>
      <c r="V51">
        <v>23</v>
      </c>
      <c r="AA51">
        <v>40104</v>
      </c>
      <c r="AB51" t="s">
        <v>841</v>
      </c>
      <c r="AC51" t="s">
        <v>848</v>
      </c>
      <c r="AD51" t="s">
        <v>41</v>
      </c>
    </row>
    <row r="52" spans="1:30" ht="40.5" customHeight="1" x14ac:dyDescent="0.25">
      <c r="O52" t="s">
        <v>302</v>
      </c>
      <c r="P52" t="s">
        <v>303</v>
      </c>
      <c r="Q52" t="s">
        <v>38</v>
      </c>
      <c r="U52">
        <v>0</v>
      </c>
      <c r="V52">
        <v>59</v>
      </c>
      <c r="AA52">
        <v>40104</v>
      </c>
      <c r="AB52" t="s">
        <v>841</v>
      </c>
      <c r="AC52" t="s">
        <v>848</v>
      </c>
      <c r="AD52" t="s">
        <v>843</v>
      </c>
    </row>
    <row r="53" spans="1:30" ht="40.5" customHeight="1" x14ac:dyDescent="0.25">
      <c r="O53" t="s">
        <v>304</v>
      </c>
      <c r="P53" t="s">
        <v>305</v>
      </c>
      <c r="Q53" t="s">
        <v>38</v>
      </c>
      <c r="U53">
        <v>0</v>
      </c>
      <c r="V53">
        <v>23</v>
      </c>
      <c r="AA53">
        <v>40104</v>
      </c>
      <c r="AB53" t="s">
        <v>841</v>
      </c>
      <c r="AC53" t="s">
        <v>850</v>
      </c>
      <c r="AD53" t="s">
        <v>41</v>
      </c>
    </row>
    <row r="54" spans="1:30" ht="40.5" customHeight="1" x14ac:dyDescent="0.25">
      <c r="O54" t="s">
        <v>306</v>
      </c>
      <c r="P54" t="s">
        <v>307</v>
      </c>
      <c r="Q54" t="s">
        <v>38</v>
      </c>
      <c r="U54">
        <v>0</v>
      </c>
      <c r="V54">
        <v>59</v>
      </c>
      <c r="AA54">
        <v>40104</v>
      </c>
      <c r="AB54" t="s">
        <v>841</v>
      </c>
      <c r="AC54" t="s">
        <v>850</v>
      </c>
      <c r="AD54" t="s">
        <v>843</v>
      </c>
    </row>
    <row r="55" spans="1:30" ht="40.5" customHeight="1" x14ac:dyDescent="0.25">
      <c r="A55" t="s">
        <v>311</v>
      </c>
      <c r="B55" t="s">
        <v>312</v>
      </c>
      <c r="C55" s="1" t="s">
        <v>298</v>
      </c>
      <c r="D55" t="s">
        <v>28</v>
      </c>
      <c r="E55" t="s">
        <v>29</v>
      </c>
      <c r="F55" t="s">
        <v>30</v>
      </c>
      <c r="G55" t="s">
        <v>289</v>
      </c>
      <c r="H55" t="s">
        <v>313</v>
      </c>
      <c r="O55" t="s">
        <v>300</v>
      </c>
      <c r="P55" t="s">
        <v>301</v>
      </c>
      <c r="Q55" t="s">
        <v>38</v>
      </c>
      <c r="U55">
        <v>0</v>
      </c>
      <c r="V55">
        <v>23</v>
      </c>
      <c r="AA55">
        <v>40104</v>
      </c>
      <c r="AB55" t="s">
        <v>841</v>
      </c>
      <c r="AC55" t="s">
        <v>851</v>
      </c>
      <c r="AD55" t="s">
        <v>41</v>
      </c>
    </row>
    <row r="56" spans="1:30" ht="40.5" customHeight="1" x14ac:dyDescent="0.25">
      <c r="O56" t="s">
        <v>302</v>
      </c>
      <c r="P56" t="s">
        <v>303</v>
      </c>
      <c r="Q56" t="s">
        <v>38</v>
      </c>
      <c r="U56">
        <v>0</v>
      </c>
      <c r="V56">
        <v>59</v>
      </c>
      <c r="AA56">
        <v>40104</v>
      </c>
      <c r="AB56" t="s">
        <v>841</v>
      </c>
      <c r="AC56" t="s">
        <v>851</v>
      </c>
      <c r="AD56" t="s">
        <v>843</v>
      </c>
    </row>
    <row r="57" spans="1:30" ht="40.5" customHeight="1" x14ac:dyDescent="0.25">
      <c r="O57" t="s">
        <v>304</v>
      </c>
      <c r="P57" t="s">
        <v>305</v>
      </c>
      <c r="Q57" t="s">
        <v>38</v>
      </c>
      <c r="U57">
        <v>0</v>
      </c>
      <c r="V57">
        <v>23</v>
      </c>
      <c r="AA57">
        <v>40104</v>
      </c>
      <c r="AB57" t="s">
        <v>841</v>
      </c>
      <c r="AC57" t="s">
        <v>852</v>
      </c>
      <c r="AD57" t="s">
        <v>41</v>
      </c>
    </row>
    <row r="58" spans="1:30" ht="40.5" customHeight="1" x14ac:dyDescent="0.25">
      <c r="O58" t="s">
        <v>306</v>
      </c>
      <c r="P58" t="s">
        <v>307</v>
      </c>
      <c r="Q58" t="s">
        <v>38</v>
      </c>
      <c r="U58">
        <v>0</v>
      </c>
      <c r="V58">
        <v>59</v>
      </c>
      <c r="AA58">
        <v>40104</v>
      </c>
      <c r="AB58" t="s">
        <v>841</v>
      </c>
      <c r="AC58" t="s">
        <v>852</v>
      </c>
      <c r="AD58" t="s">
        <v>843</v>
      </c>
    </row>
    <row r="59" spans="1:30" ht="40.5" customHeight="1" x14ac:dyDescent="0.25">
      <c r="A59" t="s">
        <v>314</v>
      </c>
      <c r="B59" t="s">
        <v>315</v>
      </c>
      <c r="C59" s="1" t="s">
        <v>316</v>
      </c>
      <c r="D59" t="s">
        <v>28</v>
      </c>
      <c r="E59" t="s">
        <v>29</v>
      </c>
      <c r="F59" t="s">
        <v>30</v>
      </c>
      <c r="G59" t="s">
        <v>317</v>
      </c>
      <c r="H59" t="s">
        <v>318</v>
      </c>
      <c r="K59" s="1" t="s">
        <v>319</v>
      </c>
      <c r="L59" s="1" t="s">
        <v>320</v>
      </c>
      <c r="M59" s="1" t="s">
        <v>321</v>
      </c>
      <c r="N59" s="1" t="s">
        <v>322</v>
      </c>
      <c r="O59" t="s">
        <v>98</v>
      </c>
      <c r="P59" t="s">
        <v>114</v>
      </c>
      <c r="Q59" t="s">
        <v>38</v>
      </c>
      <c r="R59" t="s">
        <v>295</v>
      </c>
      <c r="U59">
        <v>0</v>
      </c>
      <c r="V59">
        <v>100</v>
      </c>
      <c r="AA59">
        <v>40104</v>
      </c>
      <c r="AB59" t="s">
        <v>841</v>
      </c>
      <c r="AC59" t="s">
        <v>853</v>
      </c>
    </row>
    <row r="60" spans="1:30" ht="40.5" customHeight="1" x14ac:dyDescent="0.25">
      <c r="A60" t="s">
        <v>323</v>
      </c>
      <c r="B60" t="s">
        <v>324</v>
      </c>
      <c r="C60" s="1" t="s">
        <v>325</v>
      </c>
      <c r="D60" t="s">
        <v>28</v>
      </c>
      <c r="E60" t="s">
        <v>29</v>
      </c>
      <c r="F60" t="s">
        <v>30</v>
      </c>
      <c r="G60" t="s">
        <v>317</v>
      </c>
      <c r="H60" t="s">
        <v>326</v>
      </c>
      <c r="O60" t="s">
        <v>126</v>
      </c>
      <c r="P60" t="s">
        <v>126</v>
      </c>
      <c r="Q60" t="s">
        <v>38</v>
      </c>
      <c r="T60" t="s">
        <v>830</v>
      </c>
      <c r="U60">
        <v>0</v>
      </c>
      <c r="V60">
        <v>100</v>
      </c>
      <c r="AA60">
        <v>40104</v>
      </c>
      <c r="AB60" t="s">
        <v>841</v>
      </c>
      <c r="AC60" t="s">
        <v>854</v>
      </c>
    </row>
    <row r="61" spans="1:30" ht="40.5" customHeight="1" x14ac:dyDescent="0.25">
      <c r="A61" t="s">
        <v>327</v>
      </c>
      <c r="B61" t="s">
        <v>328</v>
      </c>
      <c r="C61" s="1" t="s">
        <v>329</v>
      </c>
      <c r="D61" t="s">
        <v>28</v>
      </c>
      <c r="E61" t="s">
        <v>29</v>
      </c>
      <c r="F61" t="s">
        <v>30</v>
      </c>
      <c r="G61" t="s">
        <v>317</v>
      </c>
      <c r="H61" t="s">
        <v>330</v>
      </c>
      <c r="O61" t="s">
        <v>300</v>
      </c>
      <c r="P61" t="s">
        <v>301</v>
      </c>
      <c r="Q61" t="s">
        <v>38</v>
      </c>
      <c r="U61">
        <v>0</v>
      </c>
      <c r="V61">
        <v>23</v>
      </c>
      <c r="AA61">
        <v>40104</v>
      </c>
      <c r="AB61" t="s">
        <v>841</v>
      </c>
      <c r="AC61" t="s">
        <v>855</v>
      </c>
      <c r="AD61" t="s">
        <v>41</v>
      </c>
    </row>
    <row r="62" spans="1:30" ht="40.5" customHeight="1" x14ac:dyDescent="0.25">
      <c r="O62" t="s">
        <v>302</v>
      </c>
      <c r="P62" t="s">
        <v>303</v>
      </c>
      <c r="Q62" t="s">
        <v>38</v>
      </c>
      <c r="U62">
        <v>0</v>
      </c>
      <c r="V62">
        <v>59</v>
      </c>
      <c r="AA62">
        <v>40104</v>
      </c>
      <c r="AB62" t="s">
        <v>841</v>
      </c>
      <c r="AC62" t="s">
        <v>855</v>
      </c>
      <c r="AD62" t="s">
        <v>843</v>
      </c>
    </row>
    <row r="63" spans="1:30" ht="40.5" customHeight="1" x14ac:dyDescent="0.25">
      <c r="O63" t="s">
        <v>304</v>
      </c>
      <c r="P63" t="s">
        <v>305</v>
      </c>
      <c r="Q63" t="s">
        <v>38</v>
      </c>
      <c r="U63">
        <v>0</v>
      </c>
      <c r="V63">
        <v>23</v>
      </c>
      <c r="AA63">
        <v>40104</v>
      </c>
      <c r="AB63" t="s">
        <v>841</v>
      </c>
      <c r="AC63" t="s">
        <v>856</v>
      </c>
      <c r="AD63" t="s">
        <v>41</v>
      </c>
    </row>
    <row r="64" spans="1:30" ht="40.5" customHeight="1" x14ac:dyDescent="0.25">
      <c r="O64" t="s">
        <v>306</v>
      </c>
      <c r="P64" t="s">
        <v>307</v>
      </c>
      <c r="Q64" t="s">
        <v>38</v>
      </c>
      <c r="U64">
        <v>0</v>
      </c>
      <c r="V64">
        <v>59</v>
      </c>
      <c r="AA64">
        <v>40104</v>
      </c>
      <c r="AB64" t="s">
        <v>841</v>
      </c>
      <c r="AC64" t="s">
        <v>856</v>
      </c>
      <c r="AD64" t="s">
        <v>843</v>
      </c>
    </row>
    <row r="65" spans="1:30" ht="40.5" customHeight="1" x14ac:dyDescent="0.25">
      <c r="A65" t="s">
        <v>331</v>
      </c>
      <c r="B65" t="s">
        <v>332</v>
      </c>
      <c r="C65" s="1" t="s">
        <v>329</v>
      </c>
      <c r="D65" t="s">
        <v>28</v>
      </c>
      <c r="E65" t="s">
        <v>29</v>
      </c>
      <c r="F65" t="s">
        <v>30</v>
      </c>
      <c r="G65" t="s">
        <v>317</v>
      </c>
      <c r="H65" t="s">
        <v>333</v>
      </c>
      <c r="O65" t="s">
        <v>300</v>
      </c>
      <c r="P65" t="s">
        <v>301</v>
      </c>
      <c r="Q65" t="s">
        <v>38</v>
      </c>
      <c r="U65">
        <v>0</v>
      </c>
      <c r="V65">
        <v>23</v>
      </c>
      <c r="AA65">
        <v>40104</v>
      </c>
      <c r="AB65" t="s">
        <v>841</v>
      </c>
      <c r="AC65" t="s">
        <v>857</v>
      </c>
      <c r="AD65" t="s">
        <v>41</v>
      </c>
    </row>
    <row r="66" spans="1:30" ht="40.5" customHeight="1" x14ac:dyDescent="0.25">
      <c r="O66" t="s">
        <v>302</v>
      </c>
      <c r="P66" t="s">
        <v>303</v>
      </c>
      <c r="Q66" t="s">
        <v>38</v>
      </c>
      <c r="U66">
        <v>0</v>
      </c>
      <c r="V66">
        <v>59</v>
      </c>
      <c r="AA66">
        <v>40104</v>
      </c>
      <c r="AB66" t="s">
        <v>841</v>
      </c>
      <c r="AC66" t="s">
        <v>857</v>
      </c>
      <c r="AD66" t="s">
        <v>843</v>
      </c>
    </row>
    <row r="67" spans="1:30" ht="40.5" customHeight="1" x14ac:dyDescent="0.25">
      <c r="O67" t="s">
        <v>304</v>
      </c>
      <c r="P67" t="s">
        <v>305</v>
      </c>
      <c r="Q67" t="s">
        <v>38</v>
      </c>
      <c r="U67">
        <v>0</v>
      </c>
      <c r="V67">
        <v>23</v>
      </c>
      <c r="AA67">
        <v>40104</v>
      </c>
      <c r="AB67" t="s">
        <v>841</v>
      </c>
      <c r="AC67" t="s">
        <v>858</v>
      </c>
      <c r="AD67" t="s">
        <v>41</v>
      </c>
    </row>
    <row r="68" spans="1:30" ht="40.5" customHeight="1" x14ac:dyDescent="0.25">
      <c r="O68" t="s">
        <v>306</v>
      </c>
      <c r="P68" t="s">
        <v>307</v>
      </c>
      <c r="Q68" t="s">
        <v>38</v>
      </c>
      <c r="U68">
        <v>0</v>
      </c>
      <c r="V68">
        <v>59</v>
      </c>
      <c r="AA68">
        <v>40104</v>
      </c>
      <c r="AB68" t="s">
        <v>841</v>
      </c>
      <c r="AC68" t="s">
        <v>858</v>
      </c>
      <c r="AD68" t="s">
        <v>843</v>
      </c>
    </row>
    <row r="69" spans="1:30" ht="40.5" customHeight="1" x14ac:dyDescent="0.25">
      <c r="A69" t="s">
        <v>334</v>
      </c>
      <c r="B69" t="s">
        <v>335</v>
      </c>
      <c r="C69" s="1" t="s">
        <v>329</v>
      </c>
      <c r="D69" t="s">
        <v>28</v>
      </c>
      <c r="E69" t="s">
        <v>29</v>
      </c>
      <c r="F69" t="s">
        <v>30</v>
      </c>
      <c r="G69" t="s">
        <v>317</v>
      </c>
      <c r="H69" t="s">
        <v>336</v>
      </c>
      <c r="O69" t="s">
        <v>300</v>
      </c>
      <c r="P69" t="s">
        <v>301</v>
      </c>
      <c r="Q69" t="s">
        <v>38</v>
      </c>
      <c r="U69">
        <v>0</v>
      </c>
      <c r="V69">
        <v>23</v>
      </c>
      <c r="AA69">
        <v>40104</v>
      </c>
      <c r="AB69" t="s">
        <v>841</v>
      </c>
      <c r="AC69" t="s">
        <v>859</v>
      </c>
      <c r="AD69" t="s">
        <v>41</v>
      </c>
    </row>
    <row r="70" spans="1:30" ht="40.5" customHeight="1" x14ac:dyDescent="0.25">
      <c r="O70" t="s">
        <v>302</v>
      </c>
      <c r="P70" t="s">
        <v>303</v>
      </c>
      <c r="Q70" t="s">
        <v>38</v>
      </c>
      <c r="U70">
        <v>0</v>
      </c>
      <c r="V70">
        <v>59</v>
      </c>
      <c r="AA70">
        <v>40104</v>
      </c>
      <c r="AB70" t="s">
        <v>841</v>
      </c>
      <c r="AC70" t="s">
        <v>859</v>
      </c>
      <c r="AD70" t="s">
        <v>843</v>
      </c>
    </row>
    <row r="71" spans="1:30" ht="40.5" customHeight="1" x14ac:dyDescent="0.25">
      <c r="O71" t="s">
        <v>304</v>
      </c>
      <c r="P71" t="s">
        <v>305</v>
      </c>
      <c r="Q71" t="s">
        <v>38</v>
      </c>
      <c r="U71">
        <v>0</v>
      </c>
      <c r="V71">
        <v>23</v>
      </c>
      <c r="AA71">
        <v>40104</v>
      </c>
      <c r="AB71" t="s">
        <v>841</v>
      </c>
      <c r="AC71" t="s">
        <v>860</v>
      </c>
      <c r="AD71" t="s">
        <v>41</v>
      </c>
    </row>
    <row r="72" spans="1:30" ht="40.5" customHeight="1" x14ac:dyDescent="0.25">
      <c r="O72" t="s">
        <v>306</v>
      </c>
      <c r="P72" t="s">
        <v>307</v>
      </c>
      <c r="Q72" t="s">
        <v>38</v>
      </c>
      <c r="U72">
        <v>0</v>
      </c>
      <c r="V72">
        <v>59</v>
      </c>
      <c r="AA72">
        <v>40104</v>
      </c>
      <c r="AB72" t="s">
        <v>841</v>
      </c>
      <c r="AC72" t="s">
        <v>860</v>
      </c>
      <c r="AD72" t="s">
        <v>843</v>
      </c>
    </row>
    <row r="73" spans="1:30" ht="40.5" customHeight="1" x14ac:dyDescent="0.25">
      <c r="A73" t="s">
        <v>337</v>
      </c>
      <c r="B73" t="s">
        <v>338</v>
      </c>
      <c r="C73" s="1" t="s">
        <v>339</v>
      </c>
      <c r="D73" t="s">
        <v>28</v>
      </c>
      <c r="E73" t="s">
        <v>29</v>
      </c>
      <c r="F73" t="s">
        <v>30</v>
      </c>
      <c r="G73" t="s">
        <v>124</v>
      </c>
      <c r="H73" t="s">
        <v>340</v>
      </c>
      <c r="K73" s="1" t="s">
        <v>341</v>
      </c>
      <c r="L73" s="1" t="s">
        <v>342</v>
      </c>
      <c r="M73" s="1" t="s">
        <v>343</v>
      </c>
      <c r="N73" s="1" t="s">
        <v>344</v>
      </c>
      <c r="O73" t="s">
        <v>48</v>
      </c>
      <c r="P73" t="s">
        <v>345</v>
      </c>
      <c r="Q73" t="s">
        <v>49</v>
      </c>
      <c r="Y73" t="s">
        <v>63</v>
      </c>
      <c r="Z73" t="s">
        <v>346</v>
      </c>
      <c r="AA73">
        <v>40104</v>
      </c>
      <c r="AB73" t="s">
        <v>841</v>
      </c>
      <c r="AC73" t="str">
        <f t="shared" ref="AC67:AC130" si="1">H73</f>
        <v>ACChargeStatus</v>
      </c>
    </row>
    <row r="74" spans="1:30" ht="40.5" customHeight="1" x14ac:dyDescent="0.25">
      <c r="A74" t="s">
        <v>347</v>
      </c>
      <c r="B74" t="s">
        <v>348</v>
      </c>
      <c r="C74" s="1" t="s">
        <v>349</v>
      </c>
      <c r="D74" t="s">
        <v>28</v>
      </c>
      <c r="E74" t="s">
        <v>29</v>
      </c>
      <c r="F74" t="s">
        <v>30</v>
      </c>
      <c r="G74" t="s">
        <v>124</v>
      </c>
      <c r="H74" t="s">
        <v>350</v>
      </c>
      <c r="O74" t="s">
        <v>98</v>
      </c>
      <c r="P74" t="s">
        <v>351</v>
      </c>
      <c r="Q74" t="s">
        <v>38</v>
      </c>
      <c r="U74">
        <v>0</v>
      </c>
      <c r="V74">
        <v>100</v>
      </c>
      <c r="AA74">
        <v>40104</v>
      </c>
      <c r="AB74" t="s">
        <v>841</v>
      </c>
      <c r="AC74" t="str">
        <f t="shared" si="1"/>
        <v>ACChargePower</v>
      </c>
    </row>
    <row r="75" spans="1:30" ht="40.5" customHeight="1" x14ac:dyDescent="0.25">
      <c r="A75" t="s">
        <v>352</v>
      </c>
      <c r="B75" t="s">
        <v>353</v>
      </c>
      <c r="C75" s="1" t="s">
        <v>354</v>
      </c>
      <c r="D75" t="s">
        <v>28</v>
      </c>
      <c r="E75" t="s">
        <v>29</v>
      </c>
      <c r="F75" t="s">
        <v>30</v>
      </c>
      <c r="G75" t="s">
        <v>124</v>
      </c>
      <c r="H75" t="s">
        <v>355</v>
      </c>
      <c r="O75" t="s">
        <v>126</v>
      </c>
      <c r="P75" t="s">
        <v>833</v>
      </c>
      <c r="Q75" t="s">
        <v>38</v>
      </c>
      <c r="U75">
        <v>0</v>
      </c>
      <c r="V75">
        <v>100</v>
      </c>
      <c r="W75" t="s">
        <v>356</v>
      </c>
      <c r="AA75">
        <v>40104</v>
      </c>
      <c r="AB75" t="s">
        <v>841</v>
      </c>
      <c r="AC75" t="str">
        <f t="shared" si="1"/>
        <v>ACChgStartSOC</v>
      </c>
    </row>
    <row r="76" spans="1:30" ht="40.5" customHeight="1" x14ac:dyDescent="0.25">
      <c r="O76" t="s">
        <v>356</v>
      </c>
      <c r="P76" t="s">
        <v>834</v>
      </c>
      <c r="Q76" t="s">
        <v>38</v>
      </c>
      <c r="T76" t="s">
        <v>830</v>
      </c>
      <c r="U76">
        <v>0</v>
      </c>
      <c r="V76">
        <v>100</v>
      </c>
      <c r="X76" t="s">
        <v>126</v>
      </c>
      <c r="AA76">
        <v>40104</v>
      </c>
      <c r="AB76" t="s">
        <v>841</v>
      </c>
      <c r="AC76" t="s">
        <v>125</v>
      </c>
    </row>
    <row r="77" spans="1:30" ht="40.5" customHeight="1" x14ac:dyDescent="0.25">
      <c r="A77" t="s">
        <v>357</v>
      </c>
      <c r="B77" t="s">
        <v>358</v>
      </c>
      <c r="C77" s="1" t="s">
        <v>359</v>
      </c>
      <c r="D77" t="s">
        <v>28</v>
      </c>
      <c r="E77" t="s">
        <v>29</v>
      </c>
      <c r="F77" t="s">
        <v>30</v>
      </c>
      <c r="G77" t="s">
        <v>124</v>
      </c>
      <c r="H77" t="s">
        <v>360</v>
      </c>
      <c r="O77" t="s">
        <v>142</v>
      </c>
      <c r="P77" t="s">
        <v>361</v>
      </c>
      <c r="Q77" t="s">
        <v>49</v>
      </c>
      <c r="T77" t="s">
        <v>830</v>
      </c>
      <c r="Y77" t="s">
        <v>362</v>
      </c>
      <c r="Z77" t="s">
        <v>363</v>
      </c>
      <c r="AA77">
        <v>40104</v>
      </c>
      <c r="AB77" t="s">
        <v>841</v>
      </c>
      <c r="AC77" t="str">
        <f t="shared" si="1"/>
        <v>ACChargeType</v>
      </c>
    </row>
    <row r="78" spans="1:30" ht="40.5" customHeight="1" x14ac:dyDescent="0.25">
      <c r="A78" t="s">
        <v>364</v>
      </c>
      <c r="B78" t="s">
        <v>365</v>
      </c>
      <c r="C78" s="1" t="s">
        <v>366</v>
      </c>
      <c r="D78" t="s">
        <v>28</v>
      </c>
      <c r="E78" t="s">
        <v>29</v>
      </c>
      <c r="F78" t="s">
        <v>30</v>
      </c>
      <c r="G78" t="s">
        <v>124</v>
      </c>
      <c r="H78" t="s">
        <v>367</v>
      </c>
      <c r="O78" t="s">
        <v>368</v>
      </c>
      <c r="P78" t="s">
        <v>369</v>
      </c>
      <c r="Q78" t="s">
        <v>38</v>
      </c>
      <c r="U78">
        <v>0</v>
      </c>
      <c r="V78">
        <v>23</v>
      </c>
      <c r="AA78">
        <v>40104</v>
      </c>
      <c r="AB78" t="s">
        <v>841</v>
      </c>
      <c r="AC78" t="s">
        <v>861</v>
      </c>
      <c r="AD78" t="s">
        <v>41</v>
      </c>
    </row>
    <row r="79" spans="1:30" ht="40.5" customHeight="1" x14ac:dyDescent="0.25">
      <c r="O79" t="s">
        <v>370</v>
      </c>
      <c r="P79" t="s">
        <v>371</v>
      </c>
      <c r="Q79" t="s">
        <v>38</v>
      </c>
      <c r="U79">
        <v>0</v>
      </c>
      <c r="V79">
        <v>59</v>
      </c>
      <c r="AA79">
        <v>40104</v>
      </c>
      <c r="AB79" t="s">
        <v>841</v>
      </c>
      <c r="AC79" t="s">
        <v>861</v>
      </c>
      <c r="AD79" t="s">
        <v>843</v>
      </c>
    </row>
    <row r="80" spans="1:30" ht="40.5" customHeight="1" x14ac:dyDescent="0.25">
      <c r="O80" t="s">
        <v>372</v>
      </c>
      <c r="P80" t="s">
        <v>373</v>
      </c>
      <c r="Q80" t="s">
        <v>38</v>
      </c>
      <c r="U80">
        <v>0</v>
      </c>
      <c r="V80">
        <v>23</v>
      </c>
      <c r="AA80">
        <v>40104</v>
      </c>
      <c r="AB80" t="s">
        <v>841</v>
      </c>
      <c r="AC80" t="s">
        <v>862</v>
      </c>
      <c r="AD80" t="s">
        <v>41</v>
      </c>
    </row>
    <row r="81" spans="1:30" ht="40.5" customHeight="1" x14ac:dyDescent="0.25">
      <c r="O81" t="s">
        <v>374</v>
      </c>
      <c r="P81" t="s">
        <v>375</v>
      </c>
      <c r="Q81" t="s">
        <v>38</v>
      </c>
      <c r="U81">
        <v>0</v>
      </c>
      <c r="V81">
        <v>59</v>
      </c>
      <c r="AA81">
        <v>40104</v>
      </c>
      <c r="AB81" t="s">
        <v>841</v>
      </c>
      <c r="AC81" t="s">
        <v>862</v>
      </c>
      <c r="AD81" t="s">
        <v>843</v>
      </c>
    </row>
    <row r="82" spans="1:30" ht="40.5" customHeight="1" x14ac:dyDescent="0.25">
      <c r="O82" t="s">
        <v>376</v>
      </c>
      <c r="P82" t="s">
        <v>377</v>
      </c>
      <c r="Q82" t="s">
        <v>38</v>
      </c>
      <c r="U82">
        <v>0</v>
      </c>
      <c r="V82">
        <v>23</v>
      </c>
      <c r="AA82">
        <v>40104</v>
      </c>
      <c r="AB82" t="s">
        <v>841</v>
      </c>
      <c r="AC82" t="s">
        <v>863</v>
      </c>
      <c r="AD82" t="s">
        <v>41</v>
      </c>
    </row>
    <row r="83" spans="1:30" ht="40.5" customHeight="1" x14ac:dyDescent="0.25">
      <c r="O83" t="s">
        <v>378</v>
      </c>
      <c r="P83" t="s">
        <v>379</v>
      </c>
      <c r="Q83" t="s">
        <v>38</v>
      </c>
      <c r="U83">
        <v>0</v>
      </c>
      <c r="V83">
        <v>59</v>
      </c>
      <c r="AA83">
        <v>40104</v>
      </c>
      <c r="AB83" t="s">
        <v>841</v>
      </c>
      <c r="AC83" t="s">
        <v>863</v>
      </c>
      <c r="AD83" t="s">
        <v>843</v>
      </c>
    </row>
    <row r="84" spans="1:30" ht="40.5" customHeight="1" x14ac:dyDescent="0.25">
      <c r="O84" t="s">
        <v>380</v>
      </c>
      <c r="P84" t="s">
        <v>381</v>
      </c>
      <c r="Q84" t="s">
        <v>38</v>
      </c>
      <c r="U84">
        <v>0</v>
      </c>
      <c r="V84">
        <v>23</v>
      </c>
      <c r="AA84">
        <v>40104</v>
      </c>
      <c r="AB84" t="s">
        <v>841</v>
      </c>
      <c r="AC84" t="s">
        <v>864</v>
      </c>
      <c r="AD84" t="s">
        <v>41</v>
      </c>
    </row>
    <row r="85" spans="1:30" ht="40.5" customHeight="1" x14ac:dyDescent="0.25">
      <c r="O85" t="s">
        <v>382</v>
      </c>
      <c r="P85" t="s">
        <v>383</v>
      </c>
      <c r="Q85" t="s">
        <v>38</v>
      </c>
      <c r="U85">
        <v>0</v>
      </c>
      <c r="V85">
        <v>59</v>
      </c>
      <c r="AA85">
        <v>40104</v>
      </c>
      <c r="AB85" t="s">
        <v>841</v>
      </c>
      <c r="AC85" t="s">
        <v>864</v>
      </c>
      <c r="AD85" t="s">
        <v>843</v>
      </c>
    </row>
    <row r="86" spans="1:30" ht="40.5" customHeight="1" x14ac:dyDescent="0.25">
      <c r="O86" t="s">
        <v>384</v>
      </c>
      <c r="P86" t="s">
        <v>385</v>
      </c>
      <c r="Q86" t="s">
        <v>38</v>
      </c>
      <c r="U86">
        <v>0</v>
      </c>
      <c r="V86">
        <v>23</v>
      </c>
      <c r="AA86">
        <v>40104</v>
      </c>
      <c r="AB86" t="s">
        <v>841</v>
      </c>
      <c r="AC86" t="s">
        <v>865</v>
      </c>
      <c r="AD86" t="s">
        <v>41</v>
      </c>
    </row>
    <row r="87" spans="1:30" ht="40.5" customHeight="1" x14ac:dyDescent="0.25">
      <c r="O87" t="s">
        <v>386</v>
      </c>
      <c r="P87" t="s">
        <v>387</v>
      </c>
      <c r="Q87" t="s">
        <v>38</v>
      </c>
      <c r="U87">
        <v>0</v>
      </c>
      <c r="V87">
        <v>59</v>
      </c>
      <c r="AA87">
        <v>40104</v>
      </c>
      <c r="AB87" t="s">
        <v>841</v>
      </c>
      <c r="AC87" t="s">
        <v>865</v>
      </c>
      <c r="AD87" t="s">
        <v>843</v>
      </c>
    </row>
    <row r="88" spans="1:30" ht="40.5" customHeight="1" x14ac:dyDescent="0.25">
      <c r="O88" t="s">
        <v>388</v>
      </c>
      <c r="P88" t="s">
        <v>389</v>
      </c>
      <c r="Q88" t="s">
        <v>38</v>
      </c>
      <c r="U88">
        <v>0</v>
      </c>
      <c r="V88">
        <v>23</v>
      </c>
      <c r="AA88">
        <v>40104</v>
      </c>
      <c r="AB88" t="s">
        <v>841</v>
      </c>
      <c r="AC88" t="s">
        <v>866</v>
      </c>
      <c r="AD88" t="s">
        <v>41</v>
      </c>
    </row>
    <row r="89" spans="1:30" ht="40.5" customHeight="1" x14ac:dyDescent="0.25">
      <c r="O89" t="s">
        <v>390</v>
      </c>
      <c r="P89" t="s">
        <v>391</v>
      </c>
      <c r="Q89" t="s">
        <v>38</v>
      </c>
      <c r="U89">
        <v>0</v>
      </c>
      <c r="V89">
        <v>59</v>
      </c>
      <c r="AA89">
        <v>40104</v>
      </c>
      <c r="AB89" t="s">
        <v>841</v>
      </c>
      <c r="AC89" t="s">
        <v>866</v>
      </c>
      <c r="AD89" t="s">
        <v>843</v>
      </c>
    </row>
    <row r="90" spans="1:30" ht="40.5" customHeight="1" x14ac:dyDescent="0.25">
      <c r="A90" t="s">
        <v>392</v>
      </c>
      <c r="B90" t="s">
        <v>393</v>
      </c>
      <c r="C90" s="1" t="s">
        <v>394</v>
      </c>
      <c r="D90" t="s">
        <v>28</v>
      </c>
      <c r="E90" t="s">
        <v>29</v>
      </c>
      <c r="F90" t="s">
        <v>30</v>
      </c>
      <c r="G90" t="s">
        <v>395</v>
      </c>
      <c r="H90" t="s">
        <v>396</v>
      </c>
      <c r="K90" s="1" t="s">
        <v>397</v>
      </c>
      <c r="L90" s="1" t="s">
        <v>398</v>
      </c>
      <c r="M90" s="1" t="s">
        <v>399</v>
      </c>
      <c r="N90" s="1" t="s">
        <v>400</v>
      </c>
      <c r="O90" t="s">
        <v>401</v>
      </c>
      <c r="P90" t="s">
        <v>401</v>
      </c>
      <c r="Q90" t="s">
        <v>49</v>
      </c>
      <c r="Y90" t="s">
        <v>402</v>
      </c>
      <c r="Z90" t="s">
        <v>403</v>
      </c>
      <c r="AA90">
        <v>40104</v>
      </c>
      <c r="AB90" t="s">
        <v>841</v>
      </c>
      <c r="AC90" t="str">
        <f t="shared" si="1"/>
        <v>GridRegulation</v>
      </c>
    </row>
    <row r="91" spans="1:30" ht="40.5" customHeight="1" x14ac:dyDescent="0.25">
      <c r="A91" t="s">
        <v>404</v>
      </c>
      <c r="B91" t="s">
        <v>405</v>
      </c>
      <c r="C91" s="1" t="s">
        <v>406</v>
      </c>
      <c r="D91" t="s">
        <v>28</v>
      </c>
      <c r="E91" t="s">
        <v>29</v>
      </c>
      <c r="F91" t="s">
        <v>30</v>
      </c>
      <c r="G91" t="s">
        <v>395</v>
      </c>
      <c r="H91" t="s">
        <v>407</v>
      </c>
      <c r="O91" t="s">
        <v>142</v>
      </c>
      <c r="P91" t="s">
        <v>408</v>
      </c>
      <c r="Q91" t="s">
        <v>49</v>
      </c>
      <c r="Y91" t="s">
        <v>409</v>
      </c>
      <c r="Z91" t="s">
        <v>410</v>
      </c>
      <c r="AA91">
        <v>40104</v>
      </c>
      <c r="AB91" t="s">
        <v>841</v>
      </c>
      <c r="AC91" t="str">
        <f t="shared" si="1"/>
        <v>GridType</v>
      </c>
    </row>
    <row r="92" spans="1:30" ht="40.5" customHeight="1" x14ac:dyDescent="0.25">
      <c r="A92" t="s">
        <v>411</v>
      </c>
      <c r="B92" t="s">
        <v>412</v>
      </c>
      <c r="C92" s="1" t="s">
        <v>413</v>
      </c>
      <c r="D92" t="s">
        <v>28</v>
      </c>
      <c r="E92" t="s">
        <v>29</v>
      </c>
      <c r="F92" t="s">
        <v>30</v>
      </c>
      <c r="G92" t="s">
        <v>395</v>
      </c>
      <c r="H92" t="s">
        <v>414</v>
      </c>
      <c r="O92" t="s">
        <v>415</v>
      </c>
      <c r="P92" t="s">
        <v>416</v>
      </c>
      <c r="Q92" t="s">
        <v>49</v>
      </c>
      <c r="Y92" t="s">
        <v>417</v>
      </c>
      <c r="Z92" t="s">
        <v>418</v>
      </c>
      <c r="AA92">
        <v>40104</v>
      </c>
      <c r="AB92" t="s">
        <v>841</v>
      </c>
      <c r="AC92" t="str">
        <f t="shared" si="1"/>
        <v>GridFreq</v>
      </c>
    </row>
    <row r="93" spans="1:30" ht="40.5" customHeight="1" x14ac:dyDescent="0.25">
      <c r="A93" t="s">
        <v>419</v>
      </c>
      <c r="B93" t="s">
        <v>420</v>
      </c>
      <c r="C93" s="1" t="s">
        <v>421</v>
      </c>
      <c r="D93" t="s">
        <v>28</v>
      </c>
      <c r="E93" t="s">
        <v>29</v>
      </c>
      <c r="F93" t="s">
        <v>30</v>
      </c>
      <c r="G93" t="s">
        <v>422</v>
      </c>
      <c r="H93" t="s">
        <v>423</v>
      </c>
      <c r="K93" s="1" t="s">
        <v>424</v>
      </c>
      <c r="L93" s="1" t="s">
        <v>425</v>
      </c>
      <c r="M93" s="1" t="s">
        <v>426</v>
      </c>
      <c r="N93" s="1" t="s">
        <v>427</v>
      </c>
      <c r="O93" t="s">
        <v>428</v>
      </c>
      <c r="P93" t="s">
        <v>429</v>
      </c>
      <c r="Q93" t="s">
        <v>38</v>
      </c>
      <c r="AA93">
        <v>40104</v>
      </c>
      <c r="AB93" t="s">
        <v>841</v>
      </c>
      <c r="AC93" t="s">
        <v>867</v>
      </c>
    </row>
    <row r="94" spans="1:30" ht="40.5" customHeight="1" x14ac:dyDescent="0.25">
      <c r="O94" t="s">
        <v>430</v>
      </c>
      <c r="P94" t="s">
        <v>431</v>
      </c>
      <c r="Q94" t="s">
        <v>38</v>
      </c>
      <c r="AA94">
        <v>40104</v>
      </c>
      <c r="AB94" t="s">
        <v>841</v>
      </c>
      <c r="AC94" t="s">
        <v>868</v>
      </c>
    </row>
    <row r="95" spans="1:30" ht="40.5" customHeight="1" x14ac:dyDescent="0.25">
      <c r="A95" t="s">
        <v>432</v>
      </c>
      <c r="B95" t="s">
        <v>433</v>
      </c>
      <c r="C95" s="1" t="s">
        <v>421</v>
      </c>
      <c r="D95" t="s">
        <v>28</v>
      </c>
      <c r="E95" t="s">
        <v>29</v>
      </c>
      <c r="F95" t="s">
        <v>30</v>
      </c>
      <c r="G95" t="s">
        <v>422</v>
      </c>
      <c r="H95" t="s">
        <v>434</v>
      </c>
      <c r="O95" t="s">
        <v>428</v>
      </c>
      <c r="P95" t="s">
        <v>429</v>
      </c>
      <c r="Q95" t="s">
        <v>38</v>
      </c>
      <c r="AA95">
        <v>40104</v>
      </c>
      <c r="AB95" t="s">
        <v>841</v>
      </c>
      <c r="AC95" t="s">
        <v>869</v>
      </c>
    </row>
    <row r="96" spans="1:30" ht="40.5" customHeight="1" x14ac:dyDescent="0.25">
      <c r="O96" t="s">
        <v>430</v>
      </c>
      <c r="P96" t="s">
        <v>431</v>
      </c>
      <c r="Q96" t="s">
        <v>38</v>
      </c>
      <c r="AA96">
        <v>40104</v>
      </c>
      <c r="AB96" t="s">
        <v>841</v>
      </c>
      <c r="AC96" t="s">
        <v>870</v>
      </c>
    </row>
    <row r="97" spans="1:29" ht="40.5" customHeight="1" x14ac:dyDescent="0.25">
      <c r="A97" t="s">
        <v>435</v>
      </c>
      <c r="B97" t="s">
        <v>436</v>
      </c>
      <c r="C97" s="1" t="s">
        <v>421</v>
      </c>
      <c r="D97" t="s">
        <v>28</v>
      </c>
      <c r="E97" t="s">
        <v>29</v>
      </c>
      <c r="F97" t="s">
        <v>30</v>
      </c>
      <c r="G97" t="s">
        <v>422</v>
      </c>
      <c r="H97" t="s">
        <v>437</v>
      </c>
      <c r="O97" t="s">
        <v>428</v>
      </c>
      <c r="P97" t="s">
        <v>429</v>
      </c>
      <c r="Q97" t="s">
        <v>38</v>
      </c>
      <c r="AA97">
        <v>40104</v>
      </c>
      <c r="AB97" t="s">
        <v>841</v>
      </c>
      <c r="AC97" t="s">
        <v>871</v>
      </c>
    </row>
    <row r="98" spans="1:29" ht="40.5" customHeight="1" x14ac:dyDescent="0.25">
      <c r="O98" t="s">
        <v>430</v>
      </c>
      <c r="P98" t="s">
        <v>431</v>
      </c>
      <c r="Q98" t="s">
        <v>38</v>
      </c>
      <c r="AA98">
        <v>40104</v>
      </c>
      <c r="AB98" t="s">
        <v>841</v>
      </c>
      <c r="AC98" t="s">
        <v>872</v>
      </c>
    </row>
    <row r="99" spans="1:29" ht="40.5" customHeight="1" x14ac:dyDescent="0.25">
      <c r="A99" t="s">
        <v>438</v>
      </c>
      <c r="B99" t="s">
        <v>439</v>
      </c>
      <c r="C99" s="1" t="s">
        <v>440</v>
      </c>
      <c r="D99" t="s">
        <v>28</v>
      </c>
      <c r="E99" t="s">
        <v>29</v>
      </c>
      <c r="F99" t="s">
        <v>30</v>
      </c>
      <c r="G99" t="s">
        <v>422</v>
      </c>
      <c r="H99" t="s">
        <v>441</v>
      </c>
      <c r="O99" t="s">
        <v>442</v>
      </c>
      <c r="P99" t="s">
        <v>443</v>
      </c>
      <c r="Q99" t="s">
        <v>38</v>
      </c>
      <c r="AA99">
        <v>40104</v>
      </c>
      <c r="AB99" t="s">
        <v>841</v>
      </c>
      <c r="AC99" t="s">
        <v>873</v>
      </c>
    </row>
    <row r="100" spans="1:29" ht="40.5" customHeight="1" x14ac:dyDescent="0.25">
      <c r="O100" t="s">
        <v>444</v>
      </c>
      <c r="P100" t="s">
        <v>445</v>
      </c>
      <c r="Q100" t="s">
        <v>38</v>
      </c>
      <c r="AA100">
        <v>40104</v>
      </c>
      <c r="AB100" t="s">
        <v>841</v>
      </c>
      <c r="AC100" t="s">
        <v>874</v>
      </c>
    </row>
    <row r="101" spans="1:29" ht="40.5" customHeight="1" x14ac:dyDescent="0.25">
      <c r="A101" t="s">
        <v>446</v>
      </c>
      <c r="B101" t="s">
        <v>447</v>
      </c>
      <c r="C101" s="1" t="s">
        <v>440</v>
      </c>
      <c r="D101" t="s">
        <v>28</v>
      </c>
      <c r="E101" t="s">
        <v>29</v>
      </c>
      <c r="F101" t="s">
        <v>30</v>
      </c>
      <c r="G101" t="s">
        <v>422</v>
      </c>
      <c r="H101" t="s">
        <v>448</v>
      </c>
      <c r="O101" t="s">
        <v>442</v>
      </c>
      <c r="P101" t="s">
        <v>443</v>
      </c>
      <c r="Q101" t="s">
        <v>38</v>
      </c>
      <c r="AA101">
        <v>40104</v>
      </c>
      <c r="AB101" t="s">
        <v>841</v>
      </c>
      <c r="AC101" t="s">
        <v>875</v>
      </c>
    </row>
    <row r="102" spans="1:29" ht="40.5" customHeight="1" x14ac:dyDescent="0.25">
      <c r="O102" t="s">
        <v>444</v>
      </c>
      <c r="P102" t="s">
        <v>445</v>
      </c>
      <c r="Q102" t="s">
        <v>38</v>
      </c>
      <c r="AA102">
        <v>40104</v>
      </c>
      <c r="AB102" t="s">
        <v>841</v>
      </c>
      <c r="AC102" t="s">
        <v>876</v>
      </c>
    </row>
    <row r="103" spans="1:29" ht="40.5" customHeight="1" x14ac:dyDescent="0.25">
      <c r="A103" t="s">
        <v>449</v>
      </c>
      <c r="B103" t="s">
        <v>450</v>
      </c>
      <c r="C103" s="1" t="s">
        <v>440</v>
      </c>
      <c r="D103" t="s">
        <v>28</v>
      </c>
      <c r="E103" t="s">
        <v>29</v>
      </c>
      <c r="F103" t="s">
        <v>30</v>
      </c>
      <c r="G103" t="s">
        <v>422</v>
      </c>
      <c r="H103" t="s">
        <v>451</v>
      </c>
      <c r="O103" t="s">
        <v>442</v>
      </c>
      <c r="P103" t="s">
        <v>443</v>
      </c>
      <c r="Q103" t="s">
        <v>38</v>
      </c>
      <c r="AA103">
        <v>40104</v>
      </c>
      <c r="AB103" t="s">
        <v>841</v>
      </c>
      <c r="AC103" t="s">
        <v>877</v>
      </c>
    </row>
    <row r="104" spans="1:29" ht="40.5" customHeight="1" x14ac:dyDescent="0.25">
      <c r="O104" t="s">
        <v>444</v>
      </c>
      <c r="P104" t="s">
        <v>445</v>
      </c>
      <c r="Q104" t="s">
        <v>38</v>
      </c>
      <c r="AA104">
        <v>40104</v>
      </c>
      <c r="AB104" t="s">
        <v>841</v>
      </c>
      <c r="AC104" t="s">
        <v>878</v>
      </c>
    </row>
    <row r="105" spans="1:29" ht="40.5" customHeight="1" x14ac:dyDescent="0.25">
      <c r="A105" t="s">
        <v>452</v>
      </c>
      <c r="B105" t="s">
        <v>453</v>
      </c>
      <c r="C105" s="1" t="s">
        <v>454</v>
      </c>
      <c r="D105" t="s">
        <v>28</v>
      </c>
      <c r="E105" t="s">
        <v>29</v>
      </c>
      <c r="F105" t="s">
        <v>30</v>
      </c>
      <c r="G105" t="s">
        <v>422</v>
      </c>
      <c r="H105" t="s">
        <v>455</v>
      </c>
      <c r="O105" t="s">
        <v>456</v>
      </c>
      <c r="P105" t="s">
        <v>457</v>
      </c>
      <c r="Q105" t="s">
        <v>38</v>
      </c>
      <c r="AA105">
        <v>40104</v>
      </c>
      <c r="AB105" t="s">
        <v>841</v>
      </c>
      <c r="AC105" t="s">
        <v>879</v>
      </c>
    </row>
    <row r="106" spans="1:29" ht="40.5" customHeight="1" x14ac:dyDescent="0.25">
      <c r="O106" t="s">
        <v>458</v>
      </c>
      <c r="P106" t="s">
        <v>459</v>
      </c>
      <c r="Q106" t="s">
        <v>38</v>
      </c>
      <c r="AA106">
        <v>40104</v>
      </c>
      <c r="AB106" t="s">
        <v>841</v>
      </c>
      <c r="AC106" t="s">
        <v>880</v>
      </c>
    </row>
    <row r="107" spans="1:29" ht="40.5" customHeight="1" x14ac:dyDescent="0.25">
      <c r="A107" t="s">
        <v>460</v>
      </c>
      <c r="B107" t="s">
        <v>461</v>
      </c>
      <c r="C107" s="1" t="s">
        <v>462</v>
      </c>
      <c r="D107" t="s">
        <v>28</v>
      </c>
      <c r="E107" t="s">
        <v>29</v>
      </c>
      <c r="F107" t="s">
        <v>30</v>
      </c>
      <c r="G107" t="s">
        <v>422</v>
      </c>
      <c r="H107" t="s">
        <v>463</v>
      </c>
      <c r="O107" t="s">
        <v>456</v>
      </c>
      <c r="P107" t="s">
        <v>457</v>
      </c>
      <c r="Q107" t="s">
        <v>38</v>
      </c>
      <c r="AA107">
        <v>40104</v>
      </c>
      <c r="AB107" t="s">
        <v>841</v>
      </c>
      <c r="AC107" t="s">
        <v>463</v>
      </c>
    </row>
    <row r="108" spans="1:29" ht="40.5" customHeight="1" x14ac:dyDescent="0.25">
      <c r="O108" t="s">
        <v>458</v>
      </c>
      <c r="P108" t="s">
        <v>459</v>
      </c>
      <c r="Q108" t="s">
        <v>38</v>
      </c>
      <c r="AA108">
        <v>40104</v>
      </c>
      <c r="AB108" t="s">
        <v>841</v>
      </c>
      <c r="AC108" t="s">
        <v>881</v>
      </c>
    </row>
    <row r="109" spans="1:29" ht="40.5" customHeight="1" x14ac:dyDescent="0.25">
      <c r="A109" t="s">
        <v>464</v>
      </c>
      <c r="B109" t="s">
        <v>465</v>
      </c>
      <c r="C109" s="1" t="s">
        <v>466</v>
      </c>
      <c r="D109" t="s">
        <v>28</v>
      </c>
      <c r="E109" t="s">
        <v>29</v>
      </c>
      <c r="F109" t="s">
        <v>30</v>
      </c>
      <c r="G109" t="s">
        <v>422</v>
      </c>
      <c r="H109" t="s">
        <v>467</v>
      </c>
      <c r="O109" t="s">
        <v>456</v>
      </c>
      <c r="P109" t="s">
        <v>457</v>
      </c>
      <c r="Q109" t="s">
        <v>38</v>
      </c>
      <c r="AA109">
        <v>40104</v>
      </c>
      <c r="AB109" t="s">
        <v>841</v>
      </c>
      <c r="AC109" t="s">
        <v>882</v>
      </c>
    </row>
    <row r="110" spans="1:29" ht="40.5" customHeight="1" x14ac:dyDescent="0.25">
      <c r="O110" t="s">
        <v>458</v>
      </c>
      <c r="P110" t="s">
        <v>459</v>
      </c>
      <c r="Q110" t="s">
        <v>38</v>
      </c>
      <c r="AA110">
        <v>40104</v>
      </c>
      <c r="AB110" t="s">
        <v>841</v>
      </c>
      <c r="AC110" t="s">
        <v>883</v>
      </c>
    </row>
    <row r="111" spans="1:29" ht="40.5" customHeight="1" x14ac:dyDescent="0.25">
      <c r="A111" t="s">
        <v>468</v>
      </c>
      <c r="B111" t="s">
        <v>469</v>
      </c>
      <c r="C111" s="1" t="s">
        <v>470</v>
      </c>
      <c r="D111" t="s">
        <v>28</v>
      </c>
      <c r="E111" t="s">
        <v>29</v>
      </c>
      <c r="F111" t="s">
        <v>30</v>
      </c>
      <c r="G111" t="s">
        <v>422</v>
      </c>
      <c r="H111" t="s">
        <v>471</v>
      </c>
      <c r="O111" t="s">
        <v>472</v>
      </c>
      <c r="P111" t="s">
        <v>473</v>
      </c>
      <c r="Q111" t="s">
        <v>38</v>
      </c>
      <c r="AA111">
        <v>40104</v>
      </c>
      <c r="AB111" t="s">
        <v>841</v>
      </c>
      <c r="AC111" t="s">
        <v>884</v>
      </c>
    </row>
    <row r="112" spans="1:29" ht="40.5" customHeight="1" x14ac:dyDescent="0.25">
      <c r="O112" t="s">
        <v>474</v>
      </c>
      <c r="P112" t="s">
        <v>475</v>
      </c>
      <c r="Q112" t="s">
        <v>38</v>
      </c>
      <c r="AA112">
        <v>40104</v>
      </c>
      <c r="AB112" t="s">
        <v>841</v>
      </c>
      <c r="AC112" t="s">
        <v>885</v>
      </c>
    </row>
    <row r="113" spans="1:29" ht="40.5" customHeight="1" x14ac:dyDescent="0.25">
      <c r="A113" t="s">
        <v>476</v>
      </c>
      <c r="B113" t="s">
        <v>477</v>
      </c>
      <c r="C113" s="1" t="s">
        <v>478</v>
      </c>
      <c r="D113" t="s">
        <v>28</v>
      </c>
      <c r="E113" t="s">
        <v>29</v>
      </c>
      <c r="F113" t="s">
        <v>30</v>
      </c>
      <c r="G113" t="s">
        <v>422</v>
      </c>
      <c r="H113" t="s">
        <v>479</v>
      </c>
      <c r="O113" t="s">
        <v>472</v>
      </c>
      <c r="P113" t="s">
        <v>473</v>
      </c>
      <c r="Q113" t="s">
        <v>38</v>
      </c>
      <c r="AA113">
        <v>40104</v>
      </c>
      <c r="AB113" t="s">
        <v>841</v>
      </c>
      <c r="AC113" t="s">
        <v>886</v>
      </c>
    </row>
    <row r="114" spans="1:29" ht="40.5" customHeight="1" x14ac:dyDescent="0.25">
      <c r="O114" t="s">
        <v>474</v>
      </c>
      <c r="P114" t="s">
        <v>475</v>
      </c>
      <c r="Q114" t="s">
        <v>38</v>
      </c>
      <c r="AA114">
        <v>40104</v>
      </c>
      <c r="AB114" t="s">
        <v>841</v>
      </c>
      <c r="AC114" t="s">
        <v>887</v>
      </c>
    </row>
    <row r="115" spans="1:29" ht="40.5" customHeight="1" x14ac:dyDescent="0.25">
      <c r="A115" t="s">
        <v>480</v>
      </c>
      <c r="B115" t="s">
        <v>481</v>
      </c>
      <c r="C115" s="1" t="s">
        <v>482</v>
      </c>
      <c r="D115" t="s">
        <v>28</v>
      </c>
      <c r="E115" t="s">
        <v>29</v>
      </c>
      <c r="F115" t="s">
        <v>30</v>
      </c>
      <c r="G115" t="s">
        <v>422</v>
      </c>
      <c r="H115" t="s">
        <v>483</v>
      </c>
      <c r="O115" t="s">
        <v>472</v>
      </c>
      <c r="P115" t="s">
        <v>473</v>
      </c>
      <c r="Q115" t="s">
        <v>38</v>
      </c>
      <c r="AA115">
        <v>40104</v>
      </c>
      <c r="AB115" t="s">
        <v>841</v>
      </c>
      <c r="AC115" t="s">
        <v>888</v>
      </c>
    </row>
    <row r="116" spans="1:29" ht="40.5" customHeight="1" x14ac:dyDescent="0.25">
      <c r="O116" t="s">
        <v>474</v>
      </c>
      <c r="P116" t="s">
        <v>475</v>
      </c>
      <c r="Q116" t="s">
        <v>38</v>
      </c>
      <c r="AA116">
        <v>40104</v>
      </c>
      <c r="AB116" t="s">
        <v>841</v>
      </c>
      <c r="AC116" t="s">
        <v>889</v>
      </c>
    </row>
    <row r="117" spans="1:29" ht="40.5" customHeight="1" x14ac:dyDescent="0.25">
      <c r="A117" t="s">
        <v>484</v>
      </c>
      <c r="B117" t="s">
        <v>485</v>
      </c>
      <c r="C117" s="1" t="s">
        <v>486</v>
      </c>
      <c r="D117" t="s">
        <v>28</v>
      </c>
      <c r="E117" t="s">
        <v>68</v>
      </c>
      <c r="F117" t="s">
        <v>30</v>
      </c>
      <c r="G117" t="s">
        <v>487</v>
      </c>
      <c r="H117" t="s">
        <v>488</v>
      </c>
      <c r="M117" s="1" t="s">
        <v>489</v>
      </c>
      <c r="N117" s="1" t="s">
        <v>490</v>
      </c>
      <c r="O117" t="s">
        <v>48</v>
      </c>
      <c r="P117" t="s">
        <v>491</v>
      </c>
      <c r="Q117" t="s">
        <v>49</v>
      </c>
      <c r="Y117" t="s">
        <v>63</v>
      </c>
      <c r="Z117" t="s">
        <v>492</v>
      </c>
      <c r="AA117">
        <v>40104</v>
      </c>
      <c r="AB117" t="s">
        <v>841</v>
      </c>
      <c r="AC117" t="str">
        <f t="shared" si="1"/>
        <v>PermitServiceStatus</v>
      </c>
    </row>
    <row r="118" spans="1:29" ht="40.5" customHeight="1" x14ac:dyDescent="0.25">
      <c r="A118" t="s">
        <v>493</v>
      </c>
      <c r="B118" t="s">
        <v>494</v>
      </c>
      <c r="C118" s="1" t="s">
        <v>495</v>
      </c>
      <c r="D118" t="s">
        <v>28</v>
      </c>
      <c r="E118" t="s">
        <v>68</v>
      </c>
      <c r="F118" t="s">
        <v>30</v>
      </c>
      <c r="G118" t="s">
        <v>487</v>
      </c>
      <c r="H118" t="s">
        <v>496</v>
      </c>
      <c r="O118" t="s">
        <v>497</v>
      </c>
      <c r="P118" t="s">
        <v>498</v>
      </c>
      <c r="Q118" t="s">
        <v>38</v>
      </c>
      <c r="AA118">
        <v>40104</v>
      </c>
      <c r="AB118" t="s">
        <v>841</v>
      </c>
      <c r="AC118" t="str">
        <f t="shared" si="1"/>
        <v>RampRate</v>
      </c>
    </row>
    <row r="119" spans="1:29" ht="40.5" customHeight="1" x14ac:dyDescent="0.25">
      <c r="A119" t="s">
        <v>499</v>
      </c>
      <c r="B119" t="s">
        <v>500</v>
      </c>
      <c r="C119" s="1" t="s">
        <v>501</v>
      </c>
      <c r="D119" t="s">
        <v>28</v>
      </c>
      <c r="E119" t="s">
        <v>68</v>
      </c>
      <c r="F119" t="s">
        <v>30</v>
      </c>
      <c r="G119" t="s">
        <v>487</v>
      </c>
      <c r="H119" t="s">
        <v>502</v>
      </c>
      <c r="O119" t="s">
        <v>503</v>
      </c>
      <c r="P119" t="s">
        <v>431</v>
      </c>
      <c r="Q119" t="s">
        <v>38</v>
      </c>
      <c r="AA119">
        <v>40104</v>
      </c>
      <c r="AB119" t="s">
        <v>841</v>
      </c>
      <c r="AC119" t="s">
        <v>503</v>
      </c>
    </row>
    <row r="120" spans="1:29" ht="40.5" customHeight="1" x14ac:dyDescent="0.25">
      <c r="O120" t="s">
        <v>504</v>
      </c>
      <c r="P120" t="s">
        <v>429</v>
      </c>
      <c r="Q120" t="s">
        <v>38</v>
      </c>
      <c r="AA120">
        <v>40104</v>
      </c>
      <c r="AB120" t="s">
        <v>841</v>
      </c>
      <c r="AC120" t="s">
        <v>504</v>
      </c>
    </row>
    <row r="121" spans="1:29" ht="40.5" customHeight="1" x14ac:dyDescent="0.25">
      <c r="A121" t="s">
        <v>505</v>
      </c>
      <c r="B121" t="s">
        <v>506</v>
      </c>
      <c r="C121" s="1" t="s">
        <v>507</v>
      </c>
      <c r="D121" t="s">
        <v>28</v>
      </c>
      <c r="E121" t="s">
        <v>68</v>
      </c>
      <c r="F121" t="s">
        <v>30</v>
      </c>
      <c r="G121" t="s">
        <v>487</v>
      </c>
      <c r="H121" t="s">
        <v>508</v>
      </c>
      <c r="O121" t="s">
        <v>509</v>
      </c>
      <c r="P121" t="s">
        <v>445</v>
      </c>
      <c r="Q121" t="s">
        <v>38</v>
      </c>
      <c r="AA121">
        <v>40104</v>
      </c>
      <c r="AB121" t="s">
        <v>841</v>
      </c>
      <c r="AC121" t="s">
        <v>509</v>
      </c>
    </row>
    <row r="122" spans="1:29" ht="40.5" customHeight="1" x14ac:dyDescent="0.25">
      <c r="O122" t="s">
        <v>510</v>
      </c>
      <c r="P122" t="s">
        <v>443</v>
      </c>
      <c r="Q122" t="s">
        <v>38</v>
      </c>
      <c r="AA122">
        <v>40104</v>
      </c>
      <c r="AB122" t="s">
        <v>841</v>
      </c>
      <c r="AC122" t="s">
        <v>510</v>
      </c>
    </row>
    <row r="123" spans="1:29" ht="40.5" customHeight="1" x14ac:dyDescent="0.25">
      <c r="A123" t="s">
        <v>511</v>
      </c>
      <c r="B123" t="s">
        <v>512</v>
      </c>
      <c r="C123" s="1" t="s">
        <v>513</v>
      </c>
      <c r="D123" t="s">
        <v>28</v>
      </c>
      <c r="E123" t="s">
        <v>68</v>
      </c>
      <c r="F123" t="s">
        <v>30</v>
      </c>
      <c r="G123" t="s">
        <v>487</v>
      </c>
      <c r="H123" t="s">
        <v>514</v>
      </c>
      <c r="O123" t="s">
        <v>515</v>
      </c>
      <c r="P123" t="s">
        <v>516</v>
      </c>
      <c r="Q123" t="s">
        <v>38</v>
      </c>
      <c r="AA123">
        <v>40104</v>
      </c>
      <c r="AB123" t="s">
        <v>841</v>
      </c>
      <c r="AC123" t="s">
        <v>515</v>
      </c>
    </row>
    <row r="124" spans="1:29" ht="40.5" customHeight="1" x14ac:dyDescent="0.25">
      <c r="O124" t="s">
        <v>517</v>
      </c>
      <c r="P124" t="s">
        <v>518</v>
      </c>
      <c r="Q124" t="s">
        <v>38</v>
      </c>
      <c r="AA124">
        <v>40104</v>
      </c>
      <c r="AB124" t="s">
        <v>841</v>
      </c>
      <c r="AC124" t="s">
        <v>517</v>
      </c>
    </row>
    <row r="125" spans="1:29" ht="40.5" customHeight="1" x14ac:dyDescent="0.25">
      <c r="A125" t="s">
        <v>519</v>
      </c>
      <c r="B125" t="s">
        <v>520</v>
      </c>
      <c r="C125" s="1" t="s">
        <v>521</v>
      </c>
      <c r="D125" t="s">
        <v>28</v>
      </c>
      <c r="E125" t="s">
        <v>68</v>
      </c>
      <c r="F125" t="s">
        <v>30</v>
      </c>
      <c r="G125" t="s">
        <v>522</v>
      </c>
      <c r="H125" t="s">
        <v>523</v>
      </c>
      <c r="M125" s="1" t="s">
        <v>524</v>
      </c>
      <c r="N125" s="1" t="s">
        <v>525</v>
      </c>
      <c r="O125" t="s">
        <v>48</v>
      </c>
      <c r="P125" t="s">
        <v>526</v>
      </c>
      <c r="Q125" t="s">
        <v>49</v>
      </c>
      <c r="Y125" t="s">
        <v>63</v>
      </c>
      <c r="Z125" t="s">
        <v>527</v>
      </c>
      <c r="AA125">
        <v>40104</v>
      </c>
      <c r="AB125" t="s">
        <v>841</v>
      </c>
      <c r="AC125" t="str">
        <f t="shared" si="1"/>
        <v>ConstantPowerFactorModeStatus</v>
      </c>
    </row>
    <row r="126" spans="1:29" ht="40.5" customHeight="1" x14ac:dyDescent="0.25">
      <c r="A126" t="s">
        <v>528</v>
      </c>
      <c r="B126" t="s">
        <v>529</v>
      </c>
      <c r="C126" s="1" t="s">
        <v>530</v>
      </c>
      <c r="D126" t="s">
        <v>28</v>
      </c>
      <c r="E126" t="s">
        <v>68</v>
      </c>
      <c r="F126" t="s">
        <v>30</v>
      </c>
      <c r="G126" t="s">
        <v>522</v>
      </c>
      <c r="H126" t="s">
        <v>531</v>
      </c>
      <c r="O126" t="s">
        <v>532</v>
      </c>
      <c r="P126" t="s">
        <v>533</v>
      </c>
      <c r="Q126" t="s">
        <v>49</v>
      </c>
      <c r="Y126" t="s">
        <v>534</v>
      </c>
      <c r="Z126" t="s">
        <v>534</v>
      </c>
      <c r="AA126">
        <v>40104</v>
      </c>
      <c r="AB126" t="s">
        <v>841</v>
      </c>
      <c r="AC126" t="s">
        <v>890</v>
      </c>
    </row>
    <row r="127" spans="1:29" ht="40.5" customHeight="1" x14ac:dyDescent="0.25">
      <c r="O127" t="s">
        <v>535</v>
      </c>
      <c r="P127" t="s">
        <v>536</v>
      </c>
      <c r="Q127" t="s">
        <v>38</v>
      </c>
      <c r="AA127">
        <v>40104</v>
      </c>
      <c r="AB127" t="s">
        <v>841</v>
      </c>
      <c r="AC127" t="s">
        <v>531</v>
      </c>
    </row>
    <row r="128" spans="1:29" ht="40.5" customHeight="1" x14ac:dyDescent="0.25">
      <c r="A128" t="s">
        <v>537</v>
      </c>
      <c r="B128" t="s">
        <v>538</v>
      </c>
      <c r="C128" s="1" t="s">
        <v>539</v>
      </c>
      <c r="D128" t="s">
        <v>28</v>
      </c>
      <c r="E128" t="s">
        <v>68</v>
      </c>
      <c r="F128" t="s">
        <v>30</v>
      </c>
      <c r="G128" t="s">
        <v>540</v>
      </c>
      <c r="H128" t="s">
        <v>541</v>
      </c>
      <c r="M128" s="1" t="s">
        <v>542</v>
      </c>
      <c r="N128" s="1" t="s">
        <v>543</v>
      </c>
      <c r="O128" t="s">
        <v>532</v>
      </c>
      <c r="P128" t="s">
        <v>533</v>
      </c>
      <c r="Q128" t="s">
        <v>49</v>
      </c>
      <c r="Y128" t="s">
        <v>534</v>
      </c>
      <c r="Z128" t="s">
        <v>534</v>
      </c>
      <c r="AA128">
        <v>40104</v>
      </c>
      <c r="AB128" t="s">
        <v>841</v>
      </c>
      <c r="AC128" t="s">
        <v>891</v>
      </c>
    </row>
    <row r="129" spans="1:29" ht="40.5" customHeight="1" x14ac:dyDescent="0.25">
      <c r="O129" t="s">
        <v>526</v>
      </c>
      <c r="P129" t="s">
        <v>526</v>
      </c>
      <c r="Q129" t="s">
        <v>49</v>
      </c>
      <c r="Y129" t="s">
        <v>63</v>
      </c>
      <c r="Z129" t="s">
        <v>544</v>
      </c>
      <c r="AA129">
        <v>40104</v>
      </c>
      <c r="AB129" t="s">
        <v>841</v>
      </c>
      <c r="AC129" t="s">
        <v>541</v>
      </c>
    </row>
    <row r="130" spans="1:29" ht="40.5" customHeight="1" x14ac:dyDescent="0.25">
      <c r="A130" t="s">
        <v>545</v>
      </c>
      <c r="B130" t="s">
        <v>546</v>
      </c>
      <c r="C130" s="1" t="s">
        <v>547</v>
      </c>
      <c r="D130" t="s">
        <v>28</v>
      </c>
      <c r="E130" t="s">
        <v>68</v>
      </c>
      <c r="F130" t="s">
        <v>30</v>
      </c>
      <c r="G130" t="s">
        <v>540</v>
      </c>
      <c r="H130" t="s">
        <v>548</v>
      </c>
      <c r="O130" t="s">
        <v>98</v>
      </c>
      <c r="P130" t="s">
        <v>549</v>
      </c>
      <c r="Q130" t="s">
        <v>38</v>
      </c>
      <c r="AA130">
        <v>40104</v>
      </c>
      <c r="AB130" t="s">
        <v>841</v>
      </c>
      <c r="AC130" t="str">
        <f t="shared" si="1"/>
        <v>ReactivePowerPercentCMD</v>
      </c>
    </row>
    <row r="131" spans="1:29" ht="40.5" customHeight="1" x14ac:dyDescent="0.25">
      <c r="A131" t="s">
        <v>550</v>
      </c>
      <c r="B131" t="s">
        <v>551</v>
      </c>
      <c r="C131" s="1" t="s">
        <v>552</v>
      </c>
      <c r="D131" t="s">
        <v>28</v>
      </c>
      <c r="E131" t="s">
        <v>68</v>
      </c>
      <c r="F131" t="s">
        <v>30</v>
      </c>
      <c r="G131" t="s">
        <v>553</v>
      </c>
      <c r="H131" t="s">
        <v>553</v>
      </c>
      <c r="M131" s="1" t="s">
        <v>554</v>
      </c>
      <c r="N131" s="1" t="s">
        <v>555</v>
      </c>
      <c r="O131" t="s">
        <v>48</v>
      </c>
      <c r="P131" t="s">
        <v>48</v>
      </c>
      <c r="Q131" t="s">
        <v>49</v>
      </c>
      <c r="Y131" t="s">
        <v>63</v>
      </c>
      <c r="Z131" t="s">
        <v>556</v>
      </c>
      <c r="AA131">
        <v>40104</v>
      </c>
      <c r="AB131" t="s">
        <v>841</v>
      </c>
      <c r="AC131" t="str">
        <f t="shared" ref="AC131:AC177" si="2">H131</f>
        <v>VoltageReactivePowerMode</v>
      </c>
    </row>
    <row r="132" spans="1:29" ht="40.5" customHeight="1" x14ac:dyDescent="0.25">
      <c r="A132" t="s">
        <v>557</v>
      </c>
      <c r="B132" t="s">
        <v>558</v>
      </c>
      <c r="C132" s="1" t="s">
        <v>559</v>
      </c>
      <c r="D132" t="s">
        <v>28</v>
      </c>
      <c r="E132" t="s">
        <v>68</v>
      </c>
      <c r="F132" t="s">
        <v>30</v>
      </c>
      <c r="G132" t="s">
        <v>553</v>
      </c>
      <c r="H132" t="s">
        <v>560</v>
      </c>
      <c r="O132" t="s">
        <v>48</v>
      </c>
      <c r="P132" t="s">
        <v>561</v>
      </c>
      <c r="Q132" t="s">
        <v>49</v>
      </c>
      <c r="Y132" t="s">
        <v>63</v>
      </c>
      <c r="Z132" t="s">
        <v>63</v>
      </c>
      <c r="AA132">
        <v>40104</v>
      </c>
      <c r="AB132" t="s">
        <v>841</v>
      </c>
      <c r="AC132" t="str">
        <f t="shared" si="2"/>
        <v>AutonomousVrefAdjustment</v>
      </c>
    </row>
    <row r="133" spans="1:29" ht="40.5" customHeight="1" x14ac:dyDescent="0.25">
      <c r="A133" t="s">
        <v>562</v>
      </c>
      <c r="B133" t="s">
        <v>563</v>
      </c>
      <c r="C133" s="1" t="s">
        <v>564</v>
      </c>
      <c r="D133" t="s">
        <v>28</v>
      </c>
      <c r="E133" t="s">
        <v>68</v>
      </c>
      <c r="F133" t="s">
        <v>30</v>
      </c>
      <c r="G133" t="s">
        <v>553</v>
      </c>
      <c r="H133" t="s">
        <v>565</v>
      </c>
      <c r="O133" t="s">
        <v>565</v>
      </c>
      <c r="P133" t="s">
        <v>566</v>
      </c>
      <c r="Q133" t="s">
        <v>38</v>
      </c>
      <c r="AA133">
        <v>40104</v>
      </c>
      <c r="AB133" t="s">
        <v>841</v>
      </c>
      <c r="AC133" t="str">
        <f t="shared" si="2"/>
        <v>Verf</v>
      </c>
    </row>
    <row r="134" spans="1:29" ht="40.5" customHeight="1" x14ac:dyDescent="0.25">
      <c r="A134" t="s">
        <v>567</v>
      </c>
      <c r="B134" t="s">
        <v>568</v>
      </c>
      <c r="C134" s="1" t="s">
        <v>569</v>
      </c>
      <c r="D134" t="s">
        <v>28</v>
      </c>
      <c r="E134" t="s">
        <v>68</v>
      </c>
      <c r="F134" t="s">
        <v>30</v>
      </c>
      <c r="G134" t="s">
        <v>553</v>
      </c>
      <c r="H134" t="s">
        <v>570</v>
      </c>
      <c r="O134" t="s">
        <v>571</v>
      </c>
      <c r="P134" t="s">
        <v>572</v>
      </c>
      <c r="Q134" t="s">
        <v>38</v>
      </c>
      <c r="AA134">
        <v>40104</v>
      </c>
      <c r="AB134" t="s">
        <v>841</v>
      </c>
      <c r="AC134" t="str">
        <f t="shared" si="2"/>
        <v>VrefAdjustmentTimeConstant</v>
      </c>
    </row>
    <row r="135" spans="1:29" ht="40.5" customHeight="1" x14ac:dyDescent="0.25">
      <c r="A135" t="s">
        <v>573</v>
      </c>
      <c r="B135" t="s">
        <v>574</v>
      </c>
      <c r="C135" s="1" t="s">
        <v>575</v>
      </c>
      <c r="D135" t="s">
        <v>28</v>
      </c>
      <c r="E135" t="s">
        <v>68</v>
      </c>
      <c r="F135" t="s">
        <v>30</v>
      </c>
      <c r="G135" t="s">
        <v>553</v>
      </c>
      <c r="H135" t="s">
        <v>576</v>
      </c>
      <c r="O135" t="s">
        <v>577</v>
      </c>
      <c r="P135" t="s">
        <v>578</v>
      </c>
      <c r="Q135" t="s">
        <v>38</v>
      </c>
      <c r="AA135">
        <v>40104</v>
      </c>
      <c r="AB135" t="s">
        <v>841</v>
      </c>
      <c r="AC135" t="s">
        <v>892</v>
      </c>
    </row>
    <row r="136" spans="1:29" ht="40.5" customHeight="1" x14ac:dyDescent="0.25">
      <c r="O136" t="s">
        <v>579</v>
      </c>
      <c r="P136" t="s">
        <v>580</v>
      </c>
      <c r="Q136" t="s">
        <v>38</v>
      </c>
      <c r="AA136">
        <v>40104</v>
      </c>
      <c r="AB136" t="s">
        <v>841</v>
      </c>
      <c r="AC136" t="s">
        <v>893</v>
      </c>
    </row>
    <row r="137" spans="1:29" ht="40.5" customHeight="1" x14ac:dyDescent="0.25">
      <c r="O137" t="s">
        <v>581</v>
      </c>
      <c r="P137" t="s">
        <v>582</v>
      </c>
      <c r="Q137" t="s">
        <v>38</v>
      </c>
      <c r="AA137">
        <v>40104</v>
      </c>
      <c r="AB137" t="s">
        <v>841</v>
      </c>
      <c r="AC137" t="s">
        <v>894</v>
      </c>
    </row>
    <row r="138" spans="1:29" ht="40.5" customHeight="1" x14ac:dyDescent="0.25">
      <c r="O138" t="s">
        <v>583</v>
      </c>
      <c r="P138" t="s">
        <v>584</v>
      </c>
      <c r="Q138" t="s">
        <v>38</v>
      </c>
      <c r="AA138">
        <v>40104</v>
      </c>
      <c r="AB138" t="s">
        <v>841</v>
      </c>
      <c r="AC138" t="s">
        <v>895</v>
      </c>
    </row>
    <row r="139" spans="1:29" ht="40.5" customHeight="1" x14ac:dyDescent="0.25">
      <c r="A139" t="s">
        <v>585</v>
      </c>
      <c r="B139" t="s">
        <v>586</v>
      </c>
      <c r="C139" s="1" t="s">
        <v>587</v>
      </c>
      <c r="D139" t="s">
        <v>28</v>
      </c>
      <c r="E139" t="s">
        <v>68</v>
      </c>
      <c r="F139" t="s">
        <v>30</v>
      </c>
      <c r="G139" t="s">
        <v>553</v>
      </c>
      <c r="H139" t="s">
        <v>588</v>
      </c>
      <c r="O139" t="s">
        <v>588</v>
      </c>
      <c r="P139" t="s">
        <v>589</v>
      </c>
      <c r="Q139" t="s">
        <v>38</v>
      </c>
      <c r="AA139">
        <v>40104</v>
      </c>
      <c r="AB139" t="s">
        <v>841</v>
      </c>
      <c r="AC139" t="str">
        <f t="shared" si="2"/>
        <v>Q1</v>
      </c>
    </row>
    <row r="140" spans="1:29" ht="40.5" customHeight="1" x14ac:dyDescent="0.25">
      <c r="A140" t="s">
        <v>590</v>
      </c>
      <c r="B140" t="s">
        <v>591</v>
      </c>
      <c r="C140" s="1" t="s">
        <v>592</v>
      </c>
      <c r="D140" t="s">
        <v>28</v>
      </c>
      <c r="E140" t="s">
        <v>68</v>
      </c>
      <c r="F140" t="s">
        <v>30</v>
      </c>
      <c r="G140" t="s">
        <v>553</v>
      </c>
      <c r="H140" t="s">
        <v>593</v>
      </c>
      <c r="O140" t="s">
        <v>593</v>
      </c>
      <c r="P140" t="s">
        <v>594</v>
      </c>
      <c r="Q140" t="s">
        <v>38</v>
      </c>
      <c r="AA140">
        <v>40104</v>
      </c>
      <c r="AB140" t="s">
        <v>841</v>
      </c>
      <c r="AC140" t="str">
        <f t="shared" si="2"/>
        <v>Q2</v>
      </c>
    </row>
    <row r="141" spans="1:29" ht="40.5" customHeight="1" x14ac:dyDescent="0.25">
      <c r="A141" t="s">
        <v>595</v>
      </c>
      <c r="B141" t="s">
        <v>596</v>
      </c>
      <c r="C141" s="1" t="s">
        <v>597</v>
      </c>
      <c r="D141" t="s">
        <v>28</v>
      </c>
      <c r="E141" t="s">
        <v>68</v>
      </c>
      <c r="F141" t="s">
        <v>30</v>
      </c>
      <c r="G141" t="s">
        <v>553</v>
      </c>
      <c r="H141" t="s">
        <v>598</v>
      </c>
      <c r="O141" t="s">
        <v>598</v>
      </c>
      <c r="P141" t="s">
        <v>599</v>
      </c>
      <c r="Q141" t="s">
        <v>38</v>
      </c>
      <c r="AA141">
        <v>40104</v>
      </c>
      <c r="AB141" t="s">
        <v>841</v>
      </c>
      <c r="AC141" t="str">
        <f t="shared" si="2"/>
        <v>Q3</v>
      </c>
    </row>
    <row r="142" spans="1:29" ht="40.5" customHeight="1" x14ac:dyDescent="0.25">
      <c r="A142" t="s">
        <v>600</v>
      </c>
      <c r="B142" t="s">
        <v>601</v>
      </c>
      <c r="C142" s="1" t="s">
        <v>602</v>
      </c>
      <c r="D142" t="s">
        <v>28</v>
      </c>
      <c r="E142" t="s">
        <v>68</v>
      </c>
      <c r="F142" t="s">
        <v>30</v>
      </c>
      <c r="G142" t="s">
        <v>553</v>
      </c>
      <c r="H142" t="s">
        <v>603</v>
      </c>
      <c r="O142" t="s">
        <v>603</v>
      </c>
      <c r="P142" t="s">
        <v>604</v>
      </c>
      <c r="Q142" t="s">
        <v>38</v>
      </c>
      <c r="AA142">
        <v>40104</v>
      </c>
      <c r="AB142" t="s">
        <v>841</v>
      </c>
      <c r="AC142" t="str">
        <f t="shared" si="2"/>
        <v>Q4</v>
      </c>
    </row>
    <row r="143" spans="1:29" ht="40.5" customHeight="1" x14ac:dyDescent="0.25">
      <c r="A143" t="s">
        <v>605</v>
      </c>
      <c r="B143" t="s">
        <v>606</v>
      </c>
      <c r="C143" s="1" t="s">
        <v>607</v>
      </c>
      <c r="D143" t="s">
        <v>28</v>
      </c>
      <c r="E143" t="s">
        <v>68</v>
      </c>
      <c r="F143" t="s">
        <v>30</v>
      </c>
      <c r="G143" t="s">
        <v>553</v>
      </c>
      <c r="H143" t="s">
        <v>608</v>
      </c>
      <c r="O143" t="s">
        <v>571</v>
      </c>
      <c r="P143" t="s">
        <v>609</v>
      </c>
      <c r="Q143" t="s">
        <v>38</v>
      </c>
      <c r="AA143">
        <v>40104</v>
      </c>
      <c r="AB143" t="s">
        <v>841</v>
      </c>
      <c r="AC143" t="s">
        <v>896</v>
      </c>
    </row>
    <row r="144" spans="1:29" ht="40.5" customHeight="1" x14ac:dyDescent="0.25">
      <c r="A144" t="s">
        <v>610</v>
      </c>
      <c r="B144" t="s">
        <v>611</v>
      </c>
      <c r="C144" s="1" t="s">
        <v>612</v>
      </c>
      <c r="D144" t="s">
        <v>28</v>
      </c>
      <c r="E144" t="s">
        <v>68</v>
      </c>
      <c r="F144" t="s">
        <v>30</v>
      </c>
      <c r="G144" t="s">
        <v>613</v>
      </c>
      <c r="H144" t="s">
        <v>614</v>
      </c>
      <c r="M144" s="1" t="s">
        <v>615</v>
      </c>
      <c r="N144" s="1" t="s">
        <v>616</v>
      </c>
      <c r="O144" t="s">
        <v>48</v>
      </c>
      <c r="P144" t="s">
        <v>48</v>
      </c>
      <c r="Q144" t="s">
        <v>49</v>
      </c>
      <c r="Y144" t="s">
        <v>63</v>
      </c>
      <c r="Z144" t="s">
        <v>617</v>
      </c>
      <c r="AA144">
        <v>40104</v>
      </c>
      <c r="AB144" t="s">
        <v>841</v>
      </c>
      <c r="AC144" t="str">
        <f t="shared" si="2"/>
        <v>PQModeStatus</v>
      </c>
    </row>
    <row r="145" spans="1:29" ht="40.5" customHeight="1" x14ac:dyDescent="0.25">
      <c r="A145" t="s">
        <v>618</v>
      </c>
      <c r="B145" t="s">
        <v>619</v>
      </c>
      <c r="C145" s="1" t="s">
        <v>620</v>
      </c>
      <c r="D145" t="s">
        <v>28</v>
      </c>
      <c r="E145" t="s">
        <v>68</v>
      </c>
      <c r="F145" t="s">
        <v>30</v>
      </c>
      <c r="G145" t="s">
        <v>613</v>
      </c>
      <c r="H145" t="s">
        <v>621</v>
      </c>
      <c r="O145" t="s">
        <v>622</v>
      </c>
      <c r="P145" t="s">
        <v>623</v>
      </c>
      <c r="Q145" t="s">
        <v>38</v>
      </c>
      <c r="AA145">
        <v>40104</v>
      </c>
      <c r="AB145" t="s">
        <v>841</v>
      </c>
      <c r="AC145" t="s">
        <v>897</v>
      </c>
    </row>
    <row r="146" spans="1:29" ht="40.5" customHeight="1" x14ac:dyDescent="0.25">
      <c r="O146" t="s">
        <v>624</v>
      </c>
      <c r="P146" t="s">
        <v>625</v>
      </c>
      <c r="Q146" t="s">
        <v>38</v>
      </c>
      <c r="AA146">
        <v>40104</v>
      </c>
      <c r="AB146" t="s">
        <v>841</v>
      </c>
      <c r="AC146" t="s">
        <v>898</v>
      </c>
    </row>
    <row r="147" spans="1:29" ht="40.5" customHeight="1" x14ac:dyDescent="0.25">
      <c r="O147" t="s">
        <v>626</v>
      </c>
      <c r="P147" t="s">
        <v>627</v>
      </c>
      <c r="Q147" t="s">
        <v>38</v>
      </c>
      <c r="AA147">
        <v>40104</v>
      </c>
      <c r="AB147" t="s">
        <v>841</v>
      </c>
      <c r="AC147" t="s">
        <v>899</v>
      </c>
    </row>
    <row r="148" spans="1:29" ht="40.5" customHeight="1" x14ac:dyDescent="0.25">
      <c r="A148" t="s">
        <v>628</v>
      </c>
      <c r="B148" t="s">
        <v>629</v>
      </c>
      <c r="C148" s="1" t="s">
        <v>630</v>
      </c>
      <c r="D148" t="s">
        <v>28</v>
      </c>
      <c r="E148" t="s">
        <v>68</v>
      </c>
      <c r="F148" t="s">
        <v>30</v>
      </c>
      <c r="G148" t="s">
        <v>631</v>
      </c>
      <c r="H148" t="s">
        <v>631</v>
      </c>
      <c r="M148" s="1" t="s">
        <v>632</v>
      </c>
      <c r="N148" s="1" t="s">
        <v>633</v>
      </c>
      <c r="O148" t="s">
        <v>48</v>
      </c>
      <c r="P148" t="s">
        <v>48</v>
      </c>
      <c r="Q148" t="s">
        <v>49</v>
      </c>
      <c r="Y148" t="s">
        <v>63</v>
      </c>
      <c r="Z148" t="s">
        <v>634</v>
      </c>
      <c r="AA148">
        <v>40104</v>
      </c>
      <c r="AB148" t="s">
        <v>841</v>
      </c>
      <c r="AC148" t="str">
        <f t="shared" si="2"/>
        <v>VoltageActivePowerMode</v>
      </c>
    </row>
    <row r="149" spans="1:29" ht="40.5" customHeight="1" x14ac:dyDescent="0.25">
      <c r="A149" t="s">
        <v>635</v>
      </c>
      <c r="B149" t="s">
        <v>636</v>
      </c>
      <c r="C149" s="1" t="s">
        <v>637</v>
      </c>
      <c r="D149" t="s">
        <v>28</v>
      </c>
      <c r="E149" t="s">
        <v>68</v>
      </c>
      <c r="F149" t="s">
        <v>30</v>
      </c>
      <c r="G149" t="s">
        <v>631</v>
      </c>
      <c r="H149" t="s">
        <v>638</v>
      </c>
      <c r="O149" t="s">
        <v>639</v>
      </c>
      <c r="P149" t="s">
        <v>578</v>
      </c>
      <c r="Q149" t="s">
        <v>38</v>
      </c>
      <c r="AA149">
        <v>40104</v>
      </c>
      <c r="AB149" t="s">
        <v>841</v>
      </c>
      <c r="AC149" t="s">
        <v>639</v>
      </c>
    </row>
    <row r="150" spans="1:29" ht="40.5" customHeight="1" x14ac:dyDescent="0.25">
      <c r="O150" t="s">
        <v>640</v>
      </c>
      <c r="P150" t="s">
        <v>580</v>
      </c>
      <c r="Q150" t="s">
        <v>38</v>
      </c>
      <c r="AA150">
        <v>40104</v>
      </c>
      <c r="AB150" t="s">
        <v>841</v>
      </c>
      <c r="AC150" t="s">
        <v>640</v>
      </c>
    </row>
    <row r="151" spans="1:29" ht="40.5" customHeight="1" x14ac:dyDescent="0.25">
      <c r="A151" t="s">
        <v>641</v>
      </c>
      <c r="B151" t="s">
        <v>642</v>
      </c>
      <c r="C151" s="1" t="s">
        <v>643</v>
      </c>
      <c r="D151" t="s">
        <v>28</v>
      </c>
      <c r="E151" t="s">
        <v>68</v>
      </c>
      <c r="F151" t="s">
        <v>30</v>
      </c>
      <c r="G151" t="s">
        <v>631</v>
      </c>
      <c r="H151" t="s">
        <v>644</v>
      </c>
      <c r="O151" t="s">
        <v>644</v>
      </c>
      <c r="P151" t="s">
        <v>625</v>
      </c>
      <c r="Q151" t="s">
        <v>38</v>
      </c>
      <c r="AA151">
        <v>40104</v>
      </c>
      <c r="AB151" t="s">
        <v>841</v>
      </c>
      <c r="AC151" t="str">
        <f t="shared" si="2"/>
        <v>VoltWattP2</v>
      </c>
    </row>
    <row r="152" spans="1:29" ht="40.5" customHeight="1" x14ac:dyDescent="0.25">
      <c r="A152" t="s">
        <v>645</v>
      </c>
      <c r="B152" t="s">
        <v>606</v>
      </c>
      <c r="C152" s="1" t="s">
        <v>646</v>
      </c>
      <c r="D152" t="s">
        <v>28</v>
      </c>
      <c r="E152" t="s">
        <v>68</v>
      </c>
      <c r="F152" t="s">
        <v>30</v>
      </c>
      <c r="G152" t="s">
        <v>631</v>
      </c>
      <c r="H152" t="s">
        <v>608</v>
      </c>
      <c r="O152" t="s">
        <v>571</v>
      </c>
      <c r="P152" t="s">
        <v>900</v>
      </c>
      <c r="Q152" t="s">
        <v>38</v>
      </c>
      <c r="AA152">
        <v>40104</v>
      </c>
      <c r="AB152" t="s">
        <v>841</v>
      </c>
      <c r="AC152" t="str">
        <f t="shared" si="2"/>
        <v>OpenLoopResponseTime</v>
      </c>
    </row>
    <row r="153" spans="1:29" ht="40.5" customHeight="1" x14ac:dyDescent="0.25">
      <c r="A153" t="s">
        <v>647</v>
      </c>
      <c r="B153" t="s">
        <v>648</v>
      </c>
      <c r="C153" s="1" t="s">
        <v>649</v>
      </c>
      <c r="D153" t="s">
        <v>28</v>
      </c>
      <c r="E153" t="s">
        <v>68</v>
      </c>
      <c r="F153" t="s">
        <v>30</v>
      </c>
      <c r="G153" t="s">
        <v>650</v>
      </c>
      <c r="H153" t="s">
        <v>651</v>
      </c>
      <c r="M153" s="1" t="s">
        <v>652</v>
      </c>
      <c r="N153" s="1" t="s">
        <v>653</v>
      </c>
      <c r="O153" t="s">
        <v>48</v>
      </c>
      <c r="P153" t="s">
        <v>48</v>
      </c>
      <c r="Q153" t="s">
        <v>49</v>
      </c>
      <c r="Y153" t="s">
        <v>63</v>
      </c>
      <c r="Z153" t="s">
        <v>63</v>
      </c>
      <c r="AA153">
        <v>40104</v>
      </c>
      <c r="AB153" t="s">
        <v>841</v>
      </c>
      <c r="AC153" t="str">
        <f t="shared" si="2"/>
        <v>FrequencyActivePowerModeStatus</v>
      </c>
    </row>
    <row r="154" spans="1:29" ht="40.5" customHeight="1" x14ac:dyDescent="0.25">
      <c r="A154" t="s">
        <v>654</v>
      </c>
      <c r="B154" t="s">
        <v>606</v>
      </c>
      <c r="C154" s="1" t="s">
        <v>655</v>
      </c>
      <c r="D154" t="s">
        <v>28</v>
      </c>
      <c r="E154" t="s">
        <v>68</v>
      </c>
      <c r="F154" t="s">
        <v>30</v>
      </c>
      <c r="G154" t="s">
        <v>650</v>
      </c>
      <c r="H154" t="s">
        <v>608</v>
      </c>
      <c r="O154" t="s">
        <v>571</v>
      </c>
      <c r="P154" t="s">
        <v>609</v>
      </c>
      <c r="Q154" t="s">
        <v>38</v>
      </c>
      <c r="AA154">
        <v>40104</v>
      </c>
      <c r="AB154" t="s">
        <v>841</v>
      </c>
      <c r="AC154" t="s">
        <v>901</v>
      </c>
    </row>
    <row r="155" spans="1:29" ht="40.5" customHeight="1" x14ac:dyDescent="0.25">
      <c r="A155" t="s">
        <v>656</v>
      </c>
      <c r="B155" t="s">
        <v>657</v>
      </c>
      <c r="C155" s="1" t="s">
        <v>658</v>
      </c>
      <c r="D155" t="s">
        <v>28</v>
      </c>
      <c r="E155" t="s">
        <v>68</v>
      </c>
      <c r="F155" t="s">
        <v>30</v>
      </c>
      <c r="G155" t="s">
        <v>650</v>
      </c>
      <c r="H155" t="s">
        <v>659</v>
      </c>
      <c r="O155" t="s">
        <v>660</v>
      </c>
      <c r="P155" t="s">
        <v>661</v>
      </c>
      <c r="Q155" t="s">
        <v>38</v>
      </c>
      <c r="T155" t="s">
        <v>836</v>
      </c>
      <c r="AA155">
        <v>40104</v>
      </c>
      <c r="AB155" t="s">
        <v>841</v>
      </c>
      <c r="AC155" t="str">
        <f t="shared" si="2"/>
        <v>OverFrequencyDroop_dbOF</v>
      </c>
    </row>
    <row r="156" spans="1:29" ht="40.5" customHeight="1" x14ac:dyDescent="0.25">
      <c r="A156" t="s">
        <v>662</v>
      </c>
      <c r="B156" t="s">
        <v>663</v>
      </c>
      <c r="C156" s="1" t="s">
        <v>664</v>
      </c>
      <c r="D156" t="s">
        <v>28</v>
      </c>
      <c r="E156" t="s">
        <v>68</v>
      </c>
      <c r="F156" t="s">
        <v>30</v>
      </c>
      <c r="G156" t="s">
        <v>650</v>
      </c>
      <c r="H156" t="s">
        <v>665</v>
      </c>
      <c r="O156" t="s">
        <v>660</v>
      </c>
      <c r="P156" t="s">
        <v>666</v>
      </c>
      <c r="Q156" t="s">
        <v>38</v>
      </c>
      <c r="AA156">
        <v>40104</v>
      </c>
      <c r="AB156" t="s">
        <v>841</v>
      </c>
      <c r="AC156" t="str">
        <f t="shared" si="2"/>
        <v>OverFrequencyDroop_kOF</v>
      </c>
    </row>
    <row r="157" spans="1:29" ht="40.5" customHeight="1" x14ac:dyDescent="0.25">
      <c r="A157" t="s">
        <v>667</v>
      </c>
      <c r="B157" t="s">
        <v>668</v>
      </c>
      <c r="C157" s="1" t="s">
        <v>669</v>
      </c>
      <c r="D157" t="s">
        <v>28</v>
      </c>
      <c r="E157" t="s">
        <v>68</v>
      </c>
      <c r="F157" t="s">
        <v>30</v>
      </c>
      <c r="G157" t="s">
        <v>650</v>
      </c>
      <c r="H157" t="s">
        <v>670</v>
      </c>
      <c r="O157" t="s">
        <v>660</v>
      </c>
      <c r="P157" t="s">
        <v>661</v>
      </c>
      <c r="Q157" t="s">
        <v>38</v>
      </c>
      <c r="AA157">
        <v>40104</v>
      </c>
      <c r="AB157" t="s">
        <v>841</v>
      </c>
      <c r="AC157" t="str">
        <f t="shared" si="2"/>
        <v>UnderFrequencyDroop_dbUF</v>
      </c>
    </row>
    <row r="158" spans="1:29" ht="40.5" customHeight="1" x14ac:dyDescent="0.25">
      <c r="A158" t="s">
        <v>671</v>
      </c>
      <c r="B158" t="s">
        <v>672</v>
      </c>
      <c r="C158" s="1" t="s">
        <v>673</v>
      </c>
      <c r="D158" t="s">
        <v>28</v>
      </c>
      <c r="E158" t="s">
        <v>68</v>
      </c>
      <c r="F158" t="s">
        <v>30</v>
      </c>
      <c r="G158" t="s">
        <v>650</v>
      </c>
      <c r="H158" t="s">
        <v>674</v>
      </c>
      <c r="O158" t="s">
        <v>660</v>
      </c>
      <c r="P158" t="s">
        <v>666</v>
      </c>
      <c r="Q158" t="s">
        <v>38</v>
      </c>
      <c r="AA158">
        <v>40104</v>
      </c>
      <c r="AB158" t="s">
        <v>841</v>
      </c>
      <c r="AC158" t="str">
        <f t="shared" si="2"/>
        <v>UnderFrequencyDroop_kUF</v>
      </c>
    </row>
    <row r="159" spans="1:29" ht="40.5" customHeight="1" x14ac:dyDescent="0.25">
      <c r="A159" t="s">
        <v>675</v>
      </c>
      <c r="B159" t="s">
        <v>676</v>
      </c>
      <c r="C159" s="1" t="s">
        <v>677</v>
      </c>
      <c r="D159" t="s">
        <v>28</v>
      </c>
      <c r="E159" t="s">
        <v>29</v>
      </c>
      <c r="F159" t="s">
        <v>30</v>
      </c>
      <c r="G159" t="s">
        <v>678</v>
      </c>
      <c r="H159" t="s">
        <v>679</v>
      </c>
      <c r="K159" s="1" t="s">
        <v>680</v>
      </c>
      <c r="L159" s="1" t="s">
        <v>681</v>
      </c>
      <c r="M159" s="1" t="s">
        <v>682</v>
      </c>
      <c r="N159" s="1" t="s">
        <v>683</v>
      </c>
      <c r="O159" t="s">
        <v>48</v>
      </c>
      <c r="P159" t="s">
        <v>108</v>
      </c>
      <c r="Q159" t="s">
        <v>49</v>
      </c>
      <c r="Y159" t="s">
        <v>63</v>
      </c>
      <c r="Z159" t="s">
        <v>63</v>
      </c>
      <c r="AA159">
        <v>40104</v>
      </c>
      <c r="AB159" t="s">
        <v>841</v>
      </c>
      <c r="AC159" t="str">
        <f t="shared" si="2"/>
        <v>OffGridOutput</v>
      </c>
    </row>
    <row r="160" spans="1:29" ht="40.5" customHeight="1" x14ac:dyDescent="0.25">
      <c r="A160" t="s">
        <v>684</v>
      </c>
      <c r="B160" t="s">
        <v>685</v>
      </c>
      <c r="C160" s="1" t="s">
        <v>686</v>
      </c>
      <c r="D160" t="s">
        <v>28</v>
      </c>
      <c r="E160" t="s">
        <v>29</v>
      </c>
      <c r="F160" t="s">
        <v>30</v>
      </c>
      <c r="G160" t="s">
        <v>678</v>
      </c>
      <c r="H160" t="s">
        <v>687</v>
      </c>
      <c r="O160" t="s">
        <v>688</v>
      </c>
      <c r="P160" t="s">
        <v>689</v>
      </c>
      <c r="Q160" t="s">
        <v>49</v>
      </c>
      <c r="T160" t="s">
        <v>835</v>
      </c>
      <c r="Y160" s="2">
        <v>208220230240277</v>
      </c>
      <c r="Z160" t="s">
        <v>690</v>
      </c>
      <c r="AA160">
        <v>40104</v>
      </c>
      <c r="AB160" t="s">
        <v>841</v>
      </c>
      <c r="AC160" t="str">
        <f t="shared" si="2"/>
        <v>EPSVoltage</v>
      </c>
    </row>
    <row r="161" spans="1:29" ht="40.5" customHeight="1" x14ac:dyDescent="0.25">
      <c r="A161" t="s">
        <v>691</v>
      </c>
      <c r="B161" t="s">
        <v>692</v>
      </c>
      <c r="C161" s="1" t="s">
        <v>693</v>
      </c>
      <c r="D161" t="s">
        <v>28</v>
      </c>
      <c r="E161" t="s">
        <v>29</v>
      </c>
      <c r="F161" t="s">
        <v>30</v>
      </c>
      <c r="G161" t="s">
        <v>694</v>
      </c>
      <c r="H161" t="s">
        <v>695</v>
      </c>
      <c r="K161" s="1" t="s">
        <v>696</v>
      </c>
      <c r="L161" s="1" t="s">
        <v>697</v>
      </c>
      <c r="M161" s="1" t="s">
        <v>698</v>
      </c>
      <c r="N161" s="1" t="s">
        <v>699</v>
      </c>
      <c r="O161" t="s">
        <v>700</v>
      </c>
      <c r="P161" t="s">
        <v>701</v>
      </c>
      <c r="Q161" t="s">
        <v>49</v>
      </c>
      <c r="Y161" t="s">
        <v>702</v>
      </c>
      <c r="Z161" t="s">
        <v>703</v>
      </c>
      <c r="AA161">
        <v>40104</v>
      </c>
      <c r="AB161" t="s">
        <v>841</v>
      </c>
      <c r="AC161" t="str">
        <f t="shared" si="2"/>
        <v>LinkedPort</v>
      </c>
    </row>
    <row r="162" spans="1:29" ht="40.5" customHeight="1" x14ac:dyDescent="0.25">
      <c r="A162" t="s">
        <v>704</v>
      </c>
      <c r="B162" t="s">
        <v>705</v>
      </c>
      <c r="C162" s="1" t="s">
        <v>706</v>
      </c>
      <c r="D162" t="s">
        <v>28</v>
      </c>
      <c r="E162" t="s">
        <v>29</v>
      </c>
      <c r="F162" t="s">
        <v>30</v>
      </c>
      <c r="G162" t="s">
        <v>694</v>
      </c>
      <c r="H162" t="s">
        <v>707</v>
      </c>
      <c r="O162" t="s">
        <v>708</v>
      </c>
      <c r="P162" t="s">
        <v>709</v>
      </c>
      <c r="Q162" t="s">
        <v>38</v>
      </c>
      <c r="AA162">
        <v>40104</v>
      </c>
      <c r="AB162" t="s">
        <v>841</v>
      </c>
      <c r="AC162" t="str">
        <f t="shared" si="2"/>
        <v>BatteryChargeCurrentLimit</v>
      </c>
    </row>
    <row r="163" spans="1:29" ht="40.5" customHeight="1" x14ac:dyDescent="0.25">
      <c r="A163" t="s">
        <v>710</v>
      </c>
      <c r="B163" t="s">
        <v>711</v>
      </c>
      <c r="C163" s="1" t="s">
        <v>712</v>
      </c>
      <c r="D163" t="s">
        <v>28</v>
      </c>
      <c r="E163" t="s">
        <v>29</v>
      </c>
      <c r="F163" t="s">
        <v>30</v>
      </c>
      <c r="G163" t="s">
        <v>694</v>
      </c>
      <c r="H163" t="s">
        <v>713</v>
      </c>
      <c r="O163" t="s">
        <v>98</v>
      </c>
      <c r="P163" t="s">
        <v>714</v>
      </c>
      <c r="Q163" t="s">
        <v>38</v>
      </c>
      <c r="U163">
        <v>0</v>
      </c>
      <c r="V163">
        <v>100</v>
      </c>
      <c r="AA163">
        <v>40104</v>
      </c>
      <c r="AB163" t="s">
        <v>841</v>
      </c>
      <c r="AC163" t="str">
        <f t="shared" si="2"/>
        <v>GeneratorRatedPower</v>
      </c>
    </row>
    <row r="164" spans="1:29" ht="40.5" customHeight="1" x14ac:dyDescent="0.25">
      <c r="A164" t="s">
        <v>715</v>
      </c>
      <c r="B164" t="s">
        <v>716</v>
      </c>
      <c r="C164" s="1" t="s">
        <v>717</v>
      </c>
      <c r="D164" t="s">
        <v>28</v>
      </c>
      <c r="E164" t="s">
        <v>29</v>
      </c>
      <c r="F164" t="s">
        <v>30</v>
      </c>
      <c r="G164" t="s">
        <v>694</v>
      </c>
      <c r="H164" t="s">
        <v>718</v>
      </c>
      <c r="O164" t="s">
        <v>571</v>
      </c>
      <c r="P164" t="s">
        <v>719</v>
      </c>
      <c r="Q164" t="s">
        <v>38</v>
      </c>
      <c r="AA164">
        <v>40104</v>
      </c>
      <c r="AB164" t="s">
        <v>841</v>
      </c>
      <c r="AC164" t="str">
        <f t="shared" si="2"/>
        <v>GeneratorCoolDownTime</v>
      </c>
    </row>
    <row r="165" spans="1:29" ht="40.5" customHeight="1" x14ac:dyDescent="0.25">
      <c r="A165" t="s">
        <v>720</v>
      </c>
      <c r="B165" t="s">
        <v>721</v>
      </c>
      <c r="C165" s="1" t="s">
        <v>722</v>
      </c>
      <c r="D165" t="s">
        <v>28</v>
      </c>
      <c r="E165" t="s">
        <v>29</v>
      </c>
      <c r="F165" t="s">
        <v>30</v>
      </c>
      <c r="G165" t="s">
        <v>694</v>
      </c>
      <c r="H165" t="s">
        <v>723</v>
      </c>
      <c r="O165" t="s">
        <v>724</v>
      </c>
      <c r="P165" t="s">
        <v>833</v>
      </c>
      <c r="Q165" t="s">
        <v>38</v>
      </c>
      <c r="R165" t="s">
        <v>725</v>
      </c>
      <c r="T165" t="s">
        <v>830</v>
      </c>
      <c r="U165">
        <v>0</v>
      </c>
      <c r="V165">
        <v>90</v>
      </c>
      <c r="W165" t="s">
        <v>356</v>
      </c>
      <c r="AA165">
        <v>40104</v>
      </c>
      <c r="AB165" t="s">
        <v>841</v>
      </c>
      <c r="AC165" t="s">
        <v>902</v>
      </c>
    </row>
    <row r="166" spans="1:29" ht="40.5" customHeight="1" x14ac:dyDescent="0.25">
      <c r="O166" t="s">
        <v>356</v>
      </c>
      <c r="P166" t="s">
        <v>834</v>
      </c>
      <c r="Q166" t="s">
        <v>38</v>
      </c>
      <c r="R166" t="s">
        <v>726</v>
      </c>
      <c r="T166" t="s">
        <v>830</v>
      </c>
      <c r="U166">
        <v>5</v>
      </c>
      <c r="V166">
        <v>100</v>
      </c>
      <c r="X166" t="s">
        <v>724</v>
      </c>
      <c r="AA166">
        <v>40104</v>
      </c>
      <c r="AB166" t="s">
        <v>841</v>
      </c>
      <c r="AC166" t="s">
        <v>903</v>
      </c>
    </row>
    <row r="167" spans="1:29" ht="40.5" customHeight="1" x14ac:dyDescent="0.25">
      <c r="A167" t="s">
        <v>727</v>
      </c>
      <c r="B167" t="s">
        <v>728</v>
      </c>
      <c r="C167" s="1" t="s">
        <v>729</v>
      </c>
      <c r="D167" t="s">
        <v>28</v>
      </c>
      <c r="E167" t="s">
        <v>68</v>
      </c>
      <c r="F167" t="s">
        <v>30</v>
      </c>
      <c r="G167" t="s">
        <v>694</v>
      </c>
      <c r="H167" t="s">
        <v>730</v>
      </c>
      <c r="O167" t="s">
        <v>48</v>
      </c>
      <c r="P167" t="s">
        <v>731</v>
      </c>
      <c r="Q167" t="s">
        <v>49</v>
      </c>
      <c r="Y167" t="s">
        <v>732</v>
      </c>
      <c r="Z167" t="s">
        <v>733</v>
      </c>
      <c r="AA167">
        <v>40104</v>
      </c>
      <c r="AB167" t="s">
        <v>841</v>
      </c>
      <c r="AC167" t="str">
        <f t="shared" si="2"/>
        <v>GenDryContact</v>
      </c>
    </row>
    <row r="168" spans="1:29" ht="40.5" customHeight="1" x14ac:dyDescent="0.25">
      <c r="A168" t="s">
        <v>734</v>
      </c>
      <c r="B168" t="s">
        <v>735</v>
      </c>
      <c r="C168" s="1" t="s">
        <v>736</v>
      </c>
      <c r="D168" t="s">
        <v>28</v>
      </c>
      <c r="E168" t="s">
        <v>29</v>
      </c>
      <c r="F168" t="s">
        <v>30</v>
      </c>
      <c r="G168" t="s">
        <v>694</v>
      </c>
      <c r="H168" t="s">
        <v>737</v>
      </c>
      <c r="O168" t="s">
        <v>48</v>
      </c>
      <c r="P168" t="s">
        <v>108</v>
      </c>
      <c r="Q168" t="s">
        <v>49</v>
      </c>
      <c r="Y168" t="s">
        <v>63</v>
      </c>
      <c r="Z168" t="s">
        <v>738</v>
      </c>
      <c r="AA168">
        <v>40104</v>
      </c>
      <c r="AB168" t="s">
        <v>841</v>
      </c>
      <c r="AC168" t="str">
        <f t="shared" si="2"/>
        <v>StartGeneratorExercise</v>
      </c>
    </row>
    <row r="169" spans="1:29" ht="40.5" customHeight="1" x14ac:dyDescent="0.25">
      <c r="A169" t="s">
        <v>739</v>
      </c>
      <c r="B169" t="s">
        <v>740</v>
      </c>
      <c r="C169" s="1" t="s">
        <v>741</v>
      </c>
      <c r="D169" t="s">
        <v>28</v>
      </c>
      <c r="E169" t="s">
        <v>29</v>
      </c>
      <c r="F169" t="s">
        <v>30</v>
      </c>
      <c r="G169" t="s">
        <v>694</v>
      </c>
      <c r="H169" t="s">
        <v>742</v>
      </c>
      <c r="O169" t="s">
        <v>48</v>
      </c>
      <c r="P169" t="s">
        <v>108</v>
      </c>
      <c r="Q169" t="s">
        <v>49</v>
      </c>
      <c r="Y169" t="s">
        <v>63</v>
      </c>
      <c r="Z169" t="s">
        <v>63</v>
      </c>
      <c r="AA169">
        <v>40104</v>
      </c>
      <c r="AB169" t="s">
        <v>841</v>
      </c>
      <c r="AC169" t="str">
        <f t="shared" si="2"/>
        <v>GeneratorBoost</v>
      </c>
    </row>
    <row r="170" spans="1:29" ht="40.5" customHeight="1" x14ac:dyDescent="0.25">
      <c r="A170" t="s">
        <v>743</v>
      </c>
      <c r="B170" t="s">
        <v>744</v>
      </c>
      <c r="C170" s="1" t="s">
        <v>745</v>
      </c>
      <c r="D170" t="s">
        <v>28</v>
      </c>
      <c r="E170" t="s">
        <v>29</v>
      </c>
      <c r="F170" t="s">
        <v>30</v>
      </c>
      <c r="G170" t="s">
        <v>746</v>
      </c>
      <c r="H170" t="s">
        <v>746</v>
      </c>
      <c r="K170" s="1" t="s">
        <v>747</v>
      </c>
      <c r="L170" s="1" t="s">
        <v>748</v>
      </c>
      <c r="M170" s="1" t="s">
        <v>749</v>
      </c>
      <c r="N170" s="1" t="s">
        <v>750</v>
      </c>
      <c r="O170" t="s">
        <v>48</v>
      </c>
      <c r="P170" t="s">
        <v>751</v>
      </c>
      <c r="Q170" t="s">
        <v>49</v>
      </c>
      <c r="Y170" t="s">
        <v>63</v>
      </c>
      <c r="Z170" t="s">
        <v>63</v>
      </c>
      <c r="AA170">
        <v>40104</v>
      </c>
      <c r="AB170" t="s">
        <v>841</v>
      </c>
      <c r="AC170" t="str">
        <f t="shared" si="2"/>
        <v>ACCoupledPV</v>
      </c>
    </row>
    <row r="171" spans="1:29" ht="40.5" customHeight="1" x14ac:dyDescent="0.25">
      <c r="A171" t="s">
        <v>752</v>
      </c>
      <c r="B171" t="s">
        <v>753</v>
      </c>
      <c r="C171" s="1" t="s">
        <v>754</v>
      </c>
      <c r="D171" t="s">
        <v>28</v>
      </c>
      <c r="E171" t="s">
        <v>29</v>
      </c>
      <c r="F171" t="s">
        <v>30</v>
      </c>
      <c r="G171" t="s">
        <v>746</v>
      </c>
      <c r="H171" t="s">
        <v>755</v>
      </c>
      <c r="O171" t="s">
        <v>724</v>
      </c>
      <c r="P171" t="s">
        <v>833</v>
      </c>
      <c r="Q171" t="s">
        <v>38</v>
      </c>
      <c r="R171" t="s">
        <v>756</v>
      </c>
      <c r="T171" t="s">
        <v>830</v>
      </c>
      <c r="U171">
        <v>0</v>
      </c>
      <c r="V171">
        <v>100</v>
      </c>
      <c r="W171" t="s">
        <v>356</v>
      </c>
      <c r="AA171">
        <v>40104</v>
      </c>
      <c r="AB171" t="s">
        <v>841</v>
      </c>
      <c r="AC171" t="s">
        <v>904</v>
      </c>
    </row>
    <row r="172" spans="1:29" ht="40.5" customHeight="1" x14ac:dyDescent="0.25">
      <c r="O172" t="s">
        <v>356</v>
      </c>
      <c r="P172" t="s">
        <v>834</v>
      </c>
      <c r="Q172" t="s">
        <v>38</v>
      </c>
      <c r="R172" t="s">
        <v>757</v>
      </c>
      <c r="T172" t="s">
        <v>830</v>
      </c>
      <c r="U172">
        <v>0</v>
      </c>
      <c r="V172">
        <v>100</v>
      </c>
      <c r="X172" t="s">
        <v>724</v>
      </c>
      <c r="AA172">
        <v>40104</v>
      </c>
      <c r="AB172" t="s">
        <v>841</v>
      </c>
      <c r="AC172" t="s">
        <v>905</v>
      </c>
    </row>
    <row r="173" spans="1:29" ht="40.5" customHeight="1" x14ac:dyDescent="0.25">
      <c r="A173" t="s">
        <v>758</v>
      </c>
      <c r="B173" t="s">
        <v>759</v>
      </c>
      <c r="C173" s="1" t="s">
        <v>760</v>
      </c>
      <c r="D173" t="s">
        <v>28</v>
      </c>
      <c r="E173" t="s">
        <v>29</v>
      </c>
      <c r="F173" t="s">
        <v>30</v>
      </c>
      <c r="G173" t="s">
        <v>761</v>
      </c>
      <c r="H173" t="s">
        <v>762</v>
      </c>
      <c r="K173" s="1" t="s">
        <v>763</v>
      </c>
      <c r="L173" s="1" t="s">
        <v>764</v>
      </c>
      <c r="M173" s="1" t="s">
        <v>765</v>
      </c>
      <c r="N173" s="1" t="s">
        <v>766</v>
      </c>
      <c r="O173" t="s">
        <v>48</v>
      </c>
      <c r="Q173" t="s">
        <v>49</v>
      </c>
      <c r="Y173" t="s">
        <v>63</v>
      </c>
      <c r="Z173" t="s">
        <v>767</v>
      </c>
      <c r="AA173">
        <v>40104</v>
      </c>
      <c r="AB173" t="s">
        <v>841</v>
      </c>
      <c r="AC173" t="str">
        <f t="shared" si="2"/>
        <v>SmartLoad</v>
      </c>
    </row>
    <row r="174" spans="1:29" ht="40.5" customHeight="1" x14ac:dyDescent="0.25">
      <c r="A174" t="s">
        <v>768</v>
      </c>
      <c r="B174" t="s">
        <v>769</v>
      </c>
      <c r="C174" s="1" t="s">
        <v>770</v>
      </c>
      <c r="D174" t="s">
        <v>28</v>
      </c>
      <c r="E174" t="s">
        <v>29</v>
      </c>
      <c r="F174" t="s">
        <v>30</v>
      </c>
      <c r="G174" t="s">
        <v>761</v>
      </c>
      <c r="H174" t="s">
        <v>771</v>
      </c>
      <c r="O174" t="s">
        <v>48</v>
      </c>
      <c r="P174" t="s">
        <v>772</v>
      </c>
      <c r="Q174" t="s">
        <v>49</v>
      </c>
      <c r="Y174" t="s">
        <v>63</v>
      </c>
      <c r="Z174" t="s">
        <v>773</v>
      </c>
      <c r="AA174">
        <v>40104</v>
      </c>
      <c r="AB174" t="s">
        <v>841</v>
      </c>
      <c r="AC174" t="str">
        <f t="shared" si="2"/>
        <v>OnGridAlwaysOn</v>
      </c>
    </row>
    <row r="175" spans="1:29" ht="40.5" customHeight="1" x14ac:dyDescent="0.25">
      <c r="A175" t="s">
        <v>774</v>
      </c>
      <c r="B175" t="s">
        <v>775</v>
      </c>
      <c r="C175" s="1" t="s">
        <v>776</v>
      </c>
      <c r="D175" t="s">
        <v>28</v>
      </c>
      <c r="E175" t="s">
        <v>29</v>
      </c>
      <c r="F175" t="s">
        <v>30</v>
      </c>
      <c r="G175" t="s">
        <v>761</v>
      </c>
      <c r="H175" t="s">
        <v>777</v>
      </c>
      <c r="O175" t="s">
        <v>98</v>
      </c>
      <c r="P175" t="s">
        <v>778</v>
      </c>
      <c r="Q175" t="s">
        <v>38</v>
      </c>
      <c r="U175">
        <v>0</v>
      </c>
      <c r="V175">
        <v>100</v>
      </c>
      <c r="AA175">
        <v>40104</v>
      </c>
      <c r="AB175" t="s">
        <v>841</v>
      </c>
      <c r="AC175" t="str">
        <f t="shared" si="2"/>
        <v>StartPVPower</v>
      </c>
    </row>
    <row r="176" spans="1:29" ht="40.5" customHeight="1" x14ac:dyDescent="0.25">
      <c r="A176" t="s">
        <v>779</v>
      </c>
      <c r="B176" t="s">
        <v>780</v>
      </c>
      <c r="C176" s="1" t="s">
        <v>781</v>
      </c>
      <c r="D176" t="s">
        <v>28</v>
      </c>
      <c r="E176" t="s">
        <v>29</v>
      </c>
      <c r="F176" t="s">
        <v>30</v>
      </c>
      <c r="G176" t="s">
        <v>761</v>
      </c>
      <c r="H176" t="s">
        <v>782</v>
      </c>
      <c r="O176" t="s">
        <v>783</v>
      </c>
      <c r="P176" t="s">
        <v>784</v>
      </c>
      <c r="Q176" t="s">
        <v>38</v>
      </c>
      <c r="U176">
        <v>0</v>
      </c>
      <c r="V176">
        <v>100</v>
      </c>
      <c r="W176" t="s">
        <v>785</v>
      </c>
      <c r="AA176">
        <v>40104</v>
      </c>
      <c r="AB176" t="s">
        <v>841</v>
      </c>
      <c r="AC176" t="s">
        <v>906</v>
      </c>
    </row>
    <row r="177" spans="15:29" ht="40.5" customHeight="1" x14ac:dyDescent="0.25">
      <c r="O177" t="s">
        <v>785</v>
      </c>
      <c r="P177" t="s">
        <v>786</v>
      </c>
      <c r="Q177" t="s">
        <v>38</v>
      </c>
      <c r="U177">
        <v>0</v>
      </c>
      <c r="V177">
        <v>100</v>
      </c>
      <c r="X177" t="s">
        <v>783</v>
      </c>
      <c r="AA177">
        <v>40104</v>
      </c>
      <c r="AB177" t="s">
        <v>841</v>
      </c>
      <c r="AC177" t="s">
        <v>907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help</vt:lpstr>
      <vt:lpstr>matter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William Gathright</cp:lastModifiedBy>
  <dcterms:created xsi:type="dcterms:W3CDTF">2025-11-04T21:44:57Z</dcterms:created>
  <dcterms:modified xsi:type="dcterms:W3CDTF">2025-11-06T22:04:47Z</dcterms:modified>
</cp:coreProperties>
</file>